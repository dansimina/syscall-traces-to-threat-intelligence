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p\Documents\Work\syscall-traces-to-threat-intelligence\"/>
    </mc:Choice>
  </mc:AlternateContent>
  <xr:revisionPtr revIDLastSave="0" documentId="13_ncr:1_{641F3E08-9B2E-4EAA-8C49-7F5BF80887BF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ummary" sheetId="1" r:id="rId1"/>
    <sheet name="Benign" sheetId="2" r:id="rId2"/>
    <sheet name="Malicious" sheetId="3" r:id="rId3"/>
    <sheet name="Raw_Data" sheetId="4" r:id="rId4"/>
  </sheets>
  <definedNames>
    <definedName name="_xlnm._FilterDatabase" localSheetId="1" hidden="1">Benign!$A$1:$H$36</definedName>
    <definedName name="_xlnm._FilterDatabase" localSheetId="2" hidden="1">Malicious!$A$1:$H$16</definedName>
    <definedName name="_xlnm._FilterDatabase" localSheetId="3" hidden="1">Raw_Data!$A$1:$I$101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16" i="3" l="1"/>
  <c r="G16" i="3"/>
  <c r="H15" i="3"/>
  <c r="G15" i="3"/>
  <c r="H14" i="3"/>
  <c r="G14" i="3"/>
  <c r="B25" i="1" s="1"/>
  <c r="H13" i="3"/>
  <c r="G13" i="3"/>
  <c r="H12" i="3"/>
  <c r="G12" i="3"/>
  <c r="H11" i="3"/>
  <c r="G11" i="3"/>
  <c r="H10" i="3"/>
  <c r="G10" i="3"/>
  <c r="H9" i="3"/>
  <c r="G9" i="3"/>
  <c r="H8" i="3"/>
  <c r="G8" i="3"/>
  <c r="H7" i="3"/>
  <c r="G7" i="3"/>
  <c r="H6" i="3"/>
  <c r="G6" i="3"/>
  <c r="H5" i="3"/>
  <c r="G5" i="3"/>
  <c r="H4" i="3"/>
  <c r="G4" i="3"/>
  <c r="H3" i="3"/>
  <c r="G3" i="3"/>
  <c r="H2" i="3"/>
  <c r="G2" i="3"/>
  <c r="H36" i="2"/>
  <c r="G36" i="2"/>
  <c r="H35" i="2"/>
  <c r="G35" i="2"/>
  <c r="H34" i="2"/>
  <c r="G34" i="2"/>
  <c r="H33" i="2"/>
  <c r="G33" i="2"/>
  <c r="H32" i="2"/>
  <c r="G32" i="2"/>
  <c r="H31" i="2"/>
  <c r="G31" i="2"/>
  <c r="H30" i="2"/>
  <c r="G30" i="2"/>
  <c r="H29" i="2"/>
  <c r="G29" i="2"/>
  <c r="H28" i="2"/>
  <c r="G28" i="2"/>
  <c r="H27" i="2"/>
  <c r="G27" i="2"/>
  <c r="H26" i="2"/>
  <c r="G26" i="2"/>
  <c r="H25" i="2"/>
  <c r="G25" i="2"/>
  <c r="H24" i="2"/>
  <c r="G24" i="2"/>
  <c r="H23" i="2"/>
  <c r="G23" i="2"/>
  <c r="H22" i="2"/>
  <c r="G22" i="2"/>
  <c r="H21" i="2"/>
  <c r="G21" i="2"/>
  <c r="H20" i="2"/>
  <c r="G20" i="2"/>
  <c r="H19" i="2"/>
  <c r="G19" i="2"/>
  <c r="H18" i="2"/>
  <c r="G18" i="2"/>
  <c r="H17" i="2"/>
  <c r="G17" i="2"/>
  <c r="H16" i="2"/>
  <c r="G16" i="2"/>
  <c r="H15" i="2"/>
  <c r="G15" i="2"/>
  <c r="H14" i="2"/>
  <c r="G14" i="2"/>
  <c r="H13" i="2"/>
  <c r="G13" i="2"/>
  <c r="H12" i="2"/>
  <c r="G12" i="2"/>
  <c r="H11" i="2"/>
  <c r="G11" i="2"/>
  <c r="H10" i="2"/>
  <c r="G10" i="2"/>
  <c r="H9" i="2"/>
  <c r="G9" i="2"/>
  <c r="H8" i="2"/>
  <c r="G8" i="2"/>
  <c r="H7" i="2"/>
  <c r="G7" i="2"/>
  <c r="H6" i="2"/>
  <c r="G6" i="2"/>
  <c r="H5" i="2"/>
  <c r="G5" i="2"/>
  <c r="H4" i="2"/>
  <c r="G4" i="2"/>
  <c r="H3" i="2"/>
  <c r="G3" i="2"/>
  <c r="H2" i="2"/>
  <c r="G2" i="2"/>
  <c r="C22" i="1"/>
  <c r="B22" i="1"/>
  <c r="C20" i="1"/>
  <c r="B20" i="1"/>
  <c r="C19" i="1"/>
  <c r="B19" i="1"/>
  <c r="C18" i="1"/>
  <c r="C21" i="1" s="1"/>
  <c r="B18" i="1"/>
  <c r="B21" i="1" s="1"/>
  <c r="B13" i="1"/>
  <c r="C10" i="1"/>
  <c r="B10" i="1"/>
  <c r="C8" i="1"/>
  <c r="B8" i="1"/>
  <c r="C7" i="1"/>
  <c r="B7" i="1"/>
  <c r="C6" i="1"/>
  <c r="B6" i="1"/>
  <c r="B24" i="1" l="1"/>
  <c r="C24" i="1"/>
  <c r="B23" i="1"/>
  <c r="C23" i="1"/>
  <c r="B9" i="1"/>
  <c r="B11" i="1" s="1"/>
  <c r="C9" i="1"/>
  <c r="C11" i="1" s="1"/>
  <c r="B12" i="1" l="1"/>
  <c r="C12" i="1"/>
</calcChain>
</file>

<file path=xl/sharedStrings.xml><?xml version="1.0" encoding="utf-8"?>
<sst xmlns="http://schemas.openxmlformats.org/spreadsheetml/2006/main" count="1057" uniqueCount="146">
  <si>
    <t>Results summary – Gemini (blind vs. non-blind)</t>
  </si>
  <si>
    <t>All values below are formulas reading from the "Benign" and "Malicious" sheets.</t>
  </si>
  <si>
    <t>BENIGN set (legitimate behaviour – ideal verdict: "benign")</t>
  </si>
  <si>
    <t>Verdict</t>
  </si>
  <si>
    <t>Blind</t>
  </si>
  <si>
    <t>Non-blind</t>
  </si>
  <si>
    <t>benign</t>
  </si>
  <si>
    <t>suspicious</t>
  </si>
  <si>
    <t>malicious</t>
  </si>
  <si>
    <t>Total</t>
  </si>
  <si>
    <t>Average severity</t>
  </si>
  <si>
    <t>Correctly classified (benign) %</t>
  </si>
  <si>
    <t>False positive rate (suspicious+malicious) %</t>
  </si>
  <si>
    <t>Verdicts changed between modes (count)</t>
  </si>
  <si>
    <t>MALICIOUS set (malicious behaviour – ideal verdict: "malicious")</t>
  </si>
  <si>
    <t>Detection as "malicious" %</t>
  </si>
  <si>
    <t>Detection (suspicious+malicious) %</t>
  </si>
  <si>
    <t>Notes</t>
  </si>
  <si>
    <t>Backend: gemini, no_cache=True for all runs.</t>
  </si>
  <si>
    <t>"Blind" = blind=True; "Non-blind" = blind=False.</t>
  </si>
  <si>
    <t>All runs have run_status = OK. Full data is in the "Raw_Data" sheet.</t>
  </si>
  <si>
    <t>Test</t>
  </si>
  <si>
    <t>Run</t>
  </si>
  <si>
    <t>Verdict (blind)</t>
  </si>
  <si>
    <t>Severity (blind)</t>
  </si>
  <si>
    <t>Verdict (non-blind)</t>
  </si>
  <si>
    <t>Severity (non-blind)</t>
  </si>
  <si>
    <t>Same verdict?</t>
  </si>
  <si>
    <t>Δ Severity (blind − non-blind)</t>
  </si>
  <si>
    <t>Test_old</t>
  </si>
  <si>
    <t>cmd_9e1fg4g3_34852d3d_1779132380</t>
  </si>
  <si>
    <t>cmd_3eufdv07_b5eab360_1779133291</t>
  </si>
  <si>
    <t>cmd_d9i2sk1w_0100e86c_1779133019</t>
  </si>
  <si>
    <t>cmd_j2n6mb6g_00ebf971_1779134062</t>
  </si>
  <si>
    <t>Test_01</t>
  </si>
  <si>
    <t>cmd_0xdimzi5_066e98f2_1780355579</t>
  </si>
  <si>
    <t>cmd_5dgdmefe_15138204_1780358170</t>
  </si>
  <si>
    <t>cmd_iaj9ztyd_19d03353_1780356277</t>
  </si>
  <si>
    <t>cmd_r9ahst8o_0be1d4c1_1780359896</t>
  </si>
  <si>
    <t>Test_02</t>
  </si>
  <si>
    <t>cmd_dr41ljpl_f3587ae0_1781123335</t>
  </si>
  <si>
    <t>cmd_uvufndvn_6e71a91d_1781199996</t>
  </si>
  <si>
    <t>cmd_6ccshnb1_84be2adf_1781205250</t>
  </si>
  <si>
    <t>s3sm_a1a11688_1781206283</t>
  </si>
  <si>
    <t>tacos_0790a627_1781293825</t>
  </si>
  <si>
    <t>tiawyfitoni_bd9e8473_1781294215</t>
  </si>
  <si>
    <t>etamt_e2d8b2af_1781294839</t>
  </si>
  <si>
    <t>sserts_b7d62b55_1781605021</t>
  </si>
  <si>
    <t>cmd_8wr8vk3s_22249b4b_1781607072</t>
  </si>
  <si>
    <t>Test_05</t>
  </si>
  <si>
    <t>test_crypto_d9379d12_1782412150</t>
  </si>
  <si>
    <t>test_ipc_df0c5fdf_1782413323</t>
  </si>
  <si>
    <t>test_at_e520e21d_1782413607</t>
  </si>
  <si>
    <t>test_sniff_20acc3e0_1782413957</t>
  </si>
  <si>
    <t>test_stego_stager_bc496d5d_1782416457</t>
  </si>
  <si>
    <t>test_crypto_filesystem_699d4f2f_1782453575</t>
  </si>
  <si>
    <t>test_local_reverse_proxy_27212c5c_1782454630</t>
  </si>
  <si>
    <t>test_concurrent_scraper_24b0613d_1782454825</t>
  </si>
  <si>
    <t>Test_06</t>
  </si>
  <si>
    <t>test_nc_listener_4f90a70c_1782564205</t>
  </si>
  <si>
    <t>test_john_cracker_afa18cc1_1782563250</t>
  </si>
  <si>
    <t>test_tshark_capture_a932c1b4_1782564485</t>
  </si>
  <si>
    <t>test_chkrootkit_scan_652db2f9_1782565267</t>
  </si>
  <si>
    <t>test_gnupg_encrypt_12172d57_1782566462</t>
  </si>
  <si>
    <t>test_tmux_detached_2e84e1f1_1782563918</t>
  </si>
  <si>
    <t>test_stunnel_tls_cba513e9_1782567838</t>
  </si>
  <si>
    <t>test_sshuttle_tunnel_94901707_1782568146</t>
  </si>
  <si>
    <t>test_localtunnel_expose_db317dd2_1782568906</t>
  </si>
  <si>
    <t>test_netstat_48b871a0_1782412881</t>
  </si>
  <si>
    <t>cf2e415e08962a37_bc276b5f_1779101096</t>
  </si>
  <si>
    <t>db35ab5a5e12afdf_441e1fb0_1780352408</t>
  </si>
  <si>
    <t>ebc6980212c3ce0e_aade556a_1779039926</t>
  </si>
  <si>
    <t>7fd8cda9c84e7e38_f1f24a98_1782634588</t>
  </si>
  <si>
    <t>f77e3aa982136945_2d006db5_1780909659</t>
  </si>
  <si>
    <t>0e3204f772b39614_5ac1789a_1780945952</t>
  </si>
  <si>
    <t>6a80d5e887b7f536_cd2b5449_1780947441</t>
  </si>
  <si>
    <t>cd8854cd185ccd37_1f7da48b_1780997348</t>
  </si>
  <si>
    <t>9b1a7f7713da9688_6aae2a3e_1782204705</t>
  </si>
  <si>
    <t>6253eeeb0d742e8c_b1235cde_1782282877</t>
  </si>
  <si>
    <t>b62dc83e91db6431_dfc5b195_1782299729</t>
  </si>
  <si>
    <t>e765cb8dceafdb57_c71ed4fc_1782369845</t>
  </si>
  <si>
    <t>cd043686efd299f7_2f24edc6_1782639957</t>
  </si>
  <si>
    <t>1773417df54b24fb_66e1f913_1782640918</t>
  </si>
  <si>
    <t>85c991b0dddbc6d2_1742fefa_1782286967</t>
  </si>
  <si>
    <t>Dataset</t>
  </si>
  <si>
    <t>Mode</t>
  </si>
  <si>
    <t>Backend</t>
  </si>
  <si>
    <t>Folder</t>
  </si>
  <si>
    <t>Severity</t>
  </si>
  <si>
    <t>Run status</t>
  </si>
  <si>
    <t>Benign</t>
  </si>
  <si>
    <t>gemini</t>
  </si>
  <si>
    <t>runs\Test_old\cmd_9e1fg4g3_34852d3d_1779132380</t>
  </si>
  <si>
    <t>OK</t>
  </si>
  <si>
    <t>runs\Test_old\cmd_3eufdv07_b5eab360_1779133291</t>
  </si>
  <si>
    <t>runs\Test_old\cmd_d9i2sk1w_0100e86c_1779133019</t>
  </si>
  <si>
    <t>runs\Test_old\cmd_j2n6mb6g_00ebf971_1779134062</t>
  </si>
  <si>
    <t>runs\Test_01\cmd_0xdimzi5_066e98f2_1780355579</t>
  </si>
  <si>
    <t>runs\Test_01\cmd_5dgdmefe_15138204_1780358170</t>
  </si>
  <si>
    <t>runs\Test_01\cmd_iaj9ztyd_19d03353_1780356277</t>
  </si>
  <si>
    <t>runs\Test_01\cmd_r9ahst8o_0be1d4c1_1780359896</t>
  </si>
  <si>
    <t>runs\Test_02\cmd_dr41ljpl_f3587ae0_1781123335</t>
  </si>
  <si>
    <t>runs\Test_02\cmd_uvufndvn_6e71a91d_1781199996</t>
  </si>
  <si>
    <t>runs\Test_02\cmd_6ccshnb1_84be2adf_1781205250</t>
  </si>
  <si>
    <t>runs\Test_02\s3sm_a1a11688_1781206283</t>
  </si>
  <si>
    <t>runs\Test_02\tacos_0790a627_1781293825</t>
  </si>
  <si>
    <t>runs\Test_02\tiawyfitoni_bd9e8473_1781294215</t>
  </si>
  <si>
    <t>runs\Test_02\etamt_e2d8b2af_1781294839</t>
  </si>
  <si>
    <t>runs\Test_02\sserts_b7d62b55_1781605021</t>
  </si>
  <si>
    <t>runs\Test_02\cmd_8wr8vk3s_22249b4b_1781607072</t>
  </si>
  <si>
    <t>runs\Test_05\test_crypto_d9379d12_1782412150</t>
  </si>
  <si>
    <t>runs\Test_05\test_ipc_df0c5fdf_1782413323</t>
  </si>
  <si>
    <t>runs\Test_05\test_at_e520e21d_1782413607</t>
  </si>
  <si>
    <t>runs\Test_05\test_sniff_20acc3e0_1782413957</t>
  </si>
  <si>
    <t>runs\Test_05\test_stego_stager_bc496d5d_1782416457</t>
  </si>
  <si>
    <t>runs\Test_05\test_crypto_filesystem_699d4f2f_1782453575</t>
  </si>
  <si>
    <t>runs\Test_05\test_local_reverse_proxy_27212c5c_1782454630</t>
  </si>
  <si>
    <t>runs\Test_05\test_concurrent_scraper_24b0613d_1782454825</t>
  </si>
  <si>
    <t>runs\Test_06\test_nc_listener_4f90a70c_1782564205</t>
  </si>
  <si>
    <t>runs\Test_06\test_john_cracker_afa18cc1_1782563250</t>
  </si>
  <si>
    <t>runs\Test_06\test_tshark_capture_a932c1b4_1782564485</t>
  </si>
  <si>
    <t>runs\Test_06\test_chkrootkit_scan_652db2f9_1782565267</t>
  </si>
  <si>
    <t>runs\Test_06\test_gnupg_encrypt_12172d57_1782566462</t>
  </si>
  <si>
    <t>runs\Test_06\test_tmux_detached_2e84e1f1_1782563918</t>
  </si>
  <si>
    <t>runs\Test_06\test_stunnel_tls_cba513e9_1782567838</t>
  </si>
  <si>
    <t>runs\Test_06\test_sshuttle_tunnel_94901707_1782568146</t>
  </si>
  <si>
    <t>runs\Test_06\test_localtunnel_expose_db317dd2_1782568906</t>
  </si>
  <si>
    <t>runs\Test_05\test_netstat_48b871a0_1782412881</t>
  </si>
  <si>
    <t>Malicious</t>
  </si>
  <si>
    <t>runs\Test_old\cf2e415e08962a37_bc276b5f_1779101096</t>
  </si>
  <si>
    <t>runs\Test_01\db35ab5a5e12afdf_441e1fb0_1780352408</t>
  </si>
  <si>
    <t>runs\Test_old\ebc6980212c3ce0e_aade556a_1779039926</t>
  </si>
  <si>
    <t>runs\Test_06\7fd8cda9c84e7e38_f1f24a98_1782634588</t>
  </si>
  <si>
    <t>runs\Test_02\f77e3aa982136945_2d006db5_1780909659</t>
  </si>
  <si>
    <t>runs\Test_02\0e3204f772b39614_5ac1789a_1780945952</t>
  </si>
  <si>
    <t>runs\Test_02\6a80d5e887b7f536_cd2b5449_1780947441</t>
  </si>
  <si>
    <t>runs\Test_02\cd8854cd185ccd37_1f7da48b_1780997348</t>
  </si>
  <si>
    <t>runs\Test_05\9b1a7f7713da9688_6aae2a3e_1782204705</t>
  </si>
  <si>
    <t>runs\Test_05\6253eeeb0d742e8c_b1235cde_1782282877</t>
  </si>
  <si>
    <t>runs\Test_05\b62dc83e91db6431_dfc5b195_1782299729</t>
  </si>
  <si>
    <t>runs\Test_05\e765cb8dceafdb57_c71ed4fc_1782369845</t>
  </si>
  <si>
    <t>runs\Test_06\cd043686efd299f7_2f24edc6_1782639957</t>
  </si>
  <si>
    <t>runs\Test_06\1773417df54b24fb_66e1f913_1782640918</t>
  </si>
  <si>
    <t>runs\Test_05\85c991b0dddbc6d2_1742fefa_1782286967</t>
  </si>
  <si>
    <t>Malicious: max_events=100000.</t>
  </si>
  <si>
    <t>Benign: max_events=100000.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</si>
</sst>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8" x14ac:knownFonts="1">
    <font>
      <sz val="11"/>
      <color theme="1"/>
      <name val="Calibri"/>
      <family val="2"/>
      <charset val="1"/>
    </font>
    <font>
      <b/>
      <sz val="14"/>
      <name val="Arial"/>
      <charset val="1"/>
    </font>
    <font>
      <i/>
      <sz val="9"/>
      <color rgb="FF595959"/>
      <name val="Arial"/>
      <charset val="1"/>
    </font>
    <font>
      <b/>
      <sz val="12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sz val="9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C6EFCE"/>
        <bgColor rgb="FFCCFFFF"/>
      </patternFill>
    </fill>
    <fill>
      <patternFill patternType="solid">
        <fgColor rgb="FFFFEB9C"/>
        <bgColor rgb="FFFFFFCC"/>
      </patternFill>
    </fill>
    <fill>
      <patternFill patternType="solid">
        <fgColor rgb="FFFFC7CE"/>
        <bgColor rgb="FFFFEB9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/>
    <xf numFmtId="0" fontId="5" fillId="0" borderId="1" xfId="0" applyFont="1" applyBorder="1" applyAlignment="1">
      <alignment horizontal="center"/>
    </xf>
    <xf numFmtId="0" fontId="5" fillId="4" borderId="1" xfId="0" applyFont="1" applyFill="1" applyBorder="1"/>
    <xf numFmtId="0" fontId="5" fillId="5" borderId="1" xfId="0" applyFont="1" applyFill="1" applyBorder="1"/>
    <xf numFmtId="0" fontId="6" fillId="0" borderId="1" xfId="0" applyFont="1" applyBorder="1"/>
    <xf numFmtId="0" fontId="6" fillId="0" borderId="1" xfId="0" applyFont="1" applyBorder="1" applyAlignment="1">
      <alignment horizontal="center"/>
    </xf>
    <xf numFmtId="0" fontId="5" fillId="0" borderId="1" xfId="0" applyFont="1" applyBorder="1"/>
    <xf numFmtId="2" fontId="5" fillId="0" borderId="1" xfId="0" applyNumberFormat="1" applyFont="1" applyBorder="1" applyAlignment="1">
      <alignment horizontal="center"/>
    </xf>
    <xf numFmtId="164" fontId="5" fillId="0" borderId="1" xfId="0" applyNumberFormat="1" applyFont="1" applyBorder="1" applyAlignment="1">
      <alignment horizontal="center"/>
    </xf>
    <xf numFmtId="0" fontId="6" fillId="0" borderId="0" xfId="0" applyFont="1"/>
    <xf numFmtId="0" fontId="7" fillId="0" borderId="0" xfId="0" applyFont="1"/>
  </cellXfs>
  <cellStyles count="1">
    <cellStyle name="Normal" xfId="0" builtinId="0"/>
  </cellStyles>
  <dxfs count="15"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4"/>
  <sheetViews>
    <sheetView tabSelected="1" zoomScaleNormal="100" workbookViewId="0">
      <selection activeCell="A35" sqref="A35"/>
    </sheetView>
  </sheetViews>
  <sheetFormatPr defaultColWidth="8.6640625" defaultRowHeight="14.4" x14ac:dyDescent="0.3"/>
  <cols>
    <col min="1" max="1" width="44" customWidth="1"/>
    <col min="2" max="3" width="14" customWidth="1"/>
  </cols>
  <sheetData>
    <row r="1" spans="1:3" ht="17.399999999999999" x14ac:dyDescent="0.3">
      <c r="A1" s="1" t="s">
        <v>0</v>
      </c>
    </row>
    <row r="2" spans="1:3" x14ac:dyDescent="0.3">
      <c r="A2" s="2" t="s">
        <v>1</v>
      </c>
    </row>
    <row r="4" spans="1:3" ht="15.6" x14ac:dyDescent="0.3">
      <c r="A4" s="3" t="s">
        <v>2</v>
      </c>
    </row>
    <row r="5" spans="1:3" x14ac:dyDescent="0.3">
      <c r="A5" s="4" t="s">
        <v>3</v>
      </c>
      <c r="B5" s="4" t="s">
        <v>4</v>
      </c>
      <c r="C5" s="4" t="s">
        <v>5</v>
      </c>
    </row>
    <row r="6" spans="1:3" x14ac:dyDescent="0.3">
      <c r="A6" s="5" t="s">
        <v>6</v>
      </c>
      <c r="B6" s="6">
        <f>COUNTIF(Benign!$C$2:$C$36,$A6)</f>
        <v>12</v>
      </c>
      <c r="C6" s="6">
        <f>COUNTIF(Benign!$E$2:$E$36,$A6)</f>
        <v>25</v>
      </c>
    </row>
    <row r="7" spans="1:3" x14ac:dyDescent="0.3">
      <c r="A7" s="7" t="s">
        <v>7</v>
      </c>
      <c r="B7" s="6">
        <f>COUNTIF(Benign!$C$2:$C$36,$A7)</f>
        <v>8</v>
      </c>
      <c r="C7" s="6">
        <f>COUNTIF(Benign!$E$2:$E$36,$A7)</f>
        <v>5</v>
      </c>
    </row>
    <row r="8" spans="1:3" x14ac:dyDescent="0.3">
      <c r="A8" s="8" t="s">
        <v>8</v>
      </c>
      <c r="B8" s="6">
        <f>COUNTIF(Benign!$C$2:$C$36,$A8)</f>
        <v>15</v>
      </c>
      <c r="C8" s="6">
        <f>COUNTIF(Benign!$E$2:$E$36,$A8)</f>
        <v>5</v>
      </c>
    </row>
    <row r="9" spans="1:3" x14ac:dyDescent="0.3">
      <c r="A9" s="9" t="s">
        <v>9</v>
      </c>
      <c r="B9" s="10">
        <f>SUM(B6:B8)</f>
        <v>35</v>
      </c>
      <c r="C9" s="10">
        <f>SUM(C6:C8)</f>
        <v>35</v>
      </c>
    </row>
    <row r="10" spans="1:3" x14ac:dyDescent="0.3">
      <c r="A10" s="11" t="s">
        <v>10</v>
      </c>
      <c r="B10" s="12">
        <f>AVERAGE(Benign!$D$2:$D$36)</f>
        <v>4.8285714285714283</v>
      </c>
      <c r="C10" s="12">
        <f>AVERAGE(Benign!$F$2:$F$36)</f>
        <v>1.9428571428571428</v>
      </c>
    </row>
    <row r="11" spans="1:3" x14ac:dyDescent="0.3">
      <c r="A11" s="11" t="s">
        <v>11</v>
      </c>
      <c r="B11" s="13">
        <f>B6/B9</f>
        <v>0.34285714285714286</v>
      </c>
      <c r="C11" s="13">
        <f>C6/C9</f>
        <v>0.7142857142857143</v>
      </c>
    </row>
    <row r="12" spans="1:3" x14ac:dyDescent="0.3">
      <c r="A12" s="11" t="s">
        <v>12</v>
      </c>
      <c r="B12" s="13">
        <f>(B7+B8)/B9</f>
        <v>0.65714285714285714</v>
      </c>
      <c r="C12" s="13">
        <f>(C7+C8)/C9</f>
        <v>0.2857142857142857</v>
      </c>
    </row>
    <row r="13" spans="1:3" x14ac:dyDescent="0.3">
      <c r="A13" s="11" t="s">
        <v>13</v>
      </c>
      <c r="B13" s="6">
        <f>COUNTIF(Benign!$G$2:$G$36,"No")</f>
        <v>16</v>
      </c>
      <c r="C13" s="6"/>
    </row>
    <row r="16" spans="1:3" ht="15.6" x14ac:dyDescent="0.3">
      <c r="A16" s="3" t="s">
        <v>14</v>
      </c>
    </row>
    <row r="17" spans="1:3" x14ac:dyDescent="0.3">
      <c r="A17" s="4" t="s">
        <v>3</v>
      </c>
      <c r="B17" s="4" t="s">
        <v>4</v>
      </c>
      <c r="C17" s="4" t="s">
        <v>5</v>
      </c>
    </row>
    <row r="18" spans="1:3" x14ac:dyDescent="0.3">
      <c r="A18" s="5" t="s">
        <v>6</v>
      </c>
      <c r="B18" s="6">
        <f>COUNTIF(Malicious!$C$2:$C$16,$A18)</f>
        <v>0</v>
      </c>
      <c r="C18" s="6">
        <f>COUNTIF(Malicious!$E$2:$E$16,$A18)</f>
        <v>0</v>
      </c>
    </row>
    <row r="19" spans="1:3" x14ac:dyDescent="0.3">
      <c r="A19" s="7" t="s">
        <v>7</v>
      </c>
      <c r="B19" s="6">
        <f>COUNTIF(Malicious!$C$2:$C$16,$A19)</f>
        <v>1</v>
      </c>
      <c r="C19" s="6">
        <f>COUNTIF(Malicious!$E$2:$E$16,$A19)</f>
        <v>1</v>
      </c>
    </row>
    <row r="20" spans="1:3" x14ac:dyDescent="0.3">
      <c r="A20" s="8" t="s">
        <v>8</v>
      </c>
      <c r="B20" s="6">
        <f>COUNTIF(Malicious!$C$2:$C$16,$A20)</f>
        <v>14</v>
      </c>
      <c r="C20" s="6">
        <f>COUNTIF(Malicious!$E$2:$E$16,$A20)</f>
        <v>14</v>
      </c>
    </row>
    <row r="21" spans="1:3" x14ac:dyDescent="0.3">
      <c r="A21" s="9" t="s">
        <v>9</v>
      </c>
      <c r="B21" s="10">
        <f>SUM(B18:B20)</f>
        <v>15</v>
      </c>
      <c r="C21" s="10">
        <f>SUM(C18:C20)</f>
        <v>15</v>
      </c>
    </row>
    <row r="22" spans="1:3" x14ac:dyDescent="0.3">
      <c r="A22" s="11" t="s">
        <v>10</v>
      </c>
      <c r="B22" s="12">
        <f>AVERAGE(Malicious!$D$2:$D$16)</f>
        <v>8.0666666666666664</v>
      </c>
      <c r="C22" s="12">
        <f>AVERAGE(Malicious!$F$2:$F$16)</f>
        <v>8.0666666666666664</v>
      </c>
    </row>
    <row r="23" spans="1:3" x14ac:dyDescent="0.3">
      <c r="A23" s="11" t="s">
        <v>15</v>
      </c>
      <c r="B23" s="13">
        <f>B20/B21</f>
        <v>0.93333333333333335</v>
      </c>
      <c r="C23" s="13">
        <f>C20/C21</f>
        <v>0.93333333333333335</v>
      </c>
    </row>
    <row r="24" spans="1:3" x14ac:dyDescent="0.3">
      <c r="A24" s="11" t="s">
        <v>16</v>
      </c>
      <c r="B24" s="13">
        <f>(B19+B20)/B21</f>
        <v>1</v>
      </c>
      <c r="C24" s="13">
        <f>(C19+C20)/C21</f>
        <v>1</v>
      </c>
    </row>
    <row r="25" spans="1:3" x14ac:dyDescent="0.3">
      <c r="A25" s="11" t="s">
        <v>13</v>
      </c>
      <c r="B25" s="6">
        <f>COUNTIF(Malicious!$G$2:$G$16,"No")</f>
        <v>2</v>
      </c>
      <c r="C25" s="6"/>
    </row>
    <row r="29" spans="1:3" x14ac:dyDescent="0.3">
      <c r="A29" s="14" t="s">
        <v>17</v>
      </c>
    </row>
    <row r="30" spans="1:3" x14ac:dyDescent="0.3">
      <c r="A30" s="15" t="s">
        <v>18</v>
      </c>
    </row>
    <row r="31" spans="1:3" x14ac:dyDescent="0.3">
      <c r="A31" s="15" t="s">
        <v>19</v>
      </c>
    </row>
    <row r="32" spans="1:3" x14ac:dyDescent="0.3">
      <c r="A32" s="15" t="s">
        <v>145</v>
      </c>
    </row>
    <row r="33" spans="1:1" x14ac:dyDescent="0.3">
      <c r="A33" s="15" t="s">
        <v>144</v>
      </c>
    </row>
    <row r="34" spans="1:1" x14ac:dyDescent="0.3">
      <c r="A34" s="15" t="s">
        <v>20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6"/>
  <sheetViews>
    <sheetView zoomScaleNormal="100" workbookViewId="0">
      <pane ySplit="1" topLeftCell="A5" activePane="bottomLeft" state="frozen"/>
      <selection pane="bottomLeft"/>
    </sheetView>
  </sheetViews>
  <sheetFormatPr defaultColWidth="8.6640625" defaultRowHeight="14.4" x14ac:dyDescent="0.3"/>
  <cols>
    <col min="1" max="1" width="10" customWidth="1"/>
    <col min="2" max="2" width="52" customWidth="1"/>
    <col min="3" max="4" width="16" customWidth="1"/>
    <col min="5" max="6" width="18" customWidth="1"/>
    <col min="7" max="7" width="16" customWidth="1"/>
    <col min="8" max="8" width="22" customWidth="1"/>
  </cols>
  <sheetData>
    <row r="1" spans="1:8" ht="42" customHeight="1" x14ac:dyDescent="0.3">
      <c r="A1" s="4" t="s">
        <v>21</v>
      </c>
      <c r="B1" s="4" t="s">
        <v>22</v>
      </c>
      <c r="C1" s="4" t="s">
        <v>23</v>
      </c>
      <c r="D1" s="4" t="s">
        <v>24</v>
      </c>
      <c r="E1" s="4" t="s">
        <v>25</v>
      </c>
      <c r="F1" s="4" t="s">
        <v>26</v>
      </c>
      <c r="G1" s="4" t="s">
        <v>27</v>
      </c>
      <c r="H1" s="4" t="s">
        <v>28</v>
      </c>
    </row>
    <row r="2" spans="1:8" x14ac:dyDescent="0.3">
      <c r="A2" s="11" t="s">
        <v>29</v>
      </c>
      <c r="B2" s="11" t="s">
        <v>30</v>
      </c>
      <c r="C2" s="6" t="s">
        <v>6</v>
      </c>
      <c r="D2" s="6">
        <v>0</v>
      </c>
      <c r="E2" s="6" t="s">
        <v>6</v>
      </c>
      <c r="F2" s="6">
        <v>0</v>
      </c>
      <c r="G2" s="6" t="str">
        <f t="shared" ref="G2:G36" si="0">IF(C2=E2,"Yes","No")</f>
        <v>Yes</v>
      </c>
      <c r="H2" s="11">
        <f t="shared" ref="H2:H36" si="1">D2-F2</f>
        <v>0</v>
      </c>
    </row>
    <row r="3" spans="1:8" x14ac:dyDescent="0.3">
      <c r="A3" s="11" t="s">
        <v>29</v>
      </c>
      <c r="B3" s="11" t="s">
        <v>31</v>
      </c>
      <c r="C3" s="6" t="s">
        <v>7</v>
      </c>
      <c r="D3" s="6">
        <v>6</v>
      </c>
      <c r="E3" s="6" t="s">
        <v>7</v>
      </c>
      <c r="F3" s="6">
        <v>5</v>
      </c>
      <c r="G3" s="6" t="str">
        <f t="shared" si="0"/>
        <v>Yes</v>
      </c>
      <c r="H3" s="11">
        <f t="shared" si="1"/>
        <v>1</v>
      </c>
    </row>
    <row r="4" spans="1:8" x14ac:dyDescent="0.3">
      <c r="A4" s="11" t="s">
        <v>29</v>
      </c>
      <c r="B4" s="11" t="s">
        <v>32</v>
      </c>
      <c r="C4" s="6" t="s">
        <v>7</v>
      </c>
      <c r="D4" s="6">
        <v>5</v>
      </c>
      <c r="E4" s="6" t="s">
        <v>6</v>
      </c>
      <c r="F4" s="6">
        <v>0</v>
      </c>
      <c r="G4" s="6" t="str">
        <f t="shared" si="0"/>
        <v>No</v>
      </c>
      <c r="H4" s="11">
        <f t="shared" si="1"/>
        <v>5</v>
      </c>
    </row>
    <row r="5" spans="1:8" x14ac:dyDescent="0.3">
      <c r="A5" s="11" t="s">
        <v>29</v>
      </c>
      <c r="B5" s="11" t="s">
        <v>33</v>
      </c>
      <c r="C5" s="6" t="s">
        <v>7</v>
      </c>
      <c r="D5" s="6">
        <v>7</v>
      </c>
      <c r="E5" s="6" t="s">
        <v>7</v>
      </c>
      <c r="F5" s="6">
        <v>7</v>
      </c>
      <c r="G5" s="6" t="str">
        <f t="shared" si="0"/>
        <v>Yes</v>
      </c>
      <c r="H5" s="11">
        <f t="shared" si="1"/>
        <v>0</v>
      </c>
    </row>
    <row r="6" spans="1:8" x14ac:dyDescent="0.3">
      <c r="A6" s="11" t="s">
        <v>34</v>
      </c>
      <c r="B6" s="11" t="s">
        <v>35</v>
      </c>
      <c r="C6" s="6" t="s">
        <v>6</v>
      </c>
      <c r="D6" s="6">
        <v>0</v>
      </c>
      <c r="E6" s="6" t="s">
        <v>6</v>
      </c>
      <c r="F6" s="6">
        <v>0</v>
      </c>
      <c r="G6" s="6" t="str">
        <f t="shared" si="0"/>
        <v>Yes</v>
      </c>
      <c r="H6" s="11">
        <f t="shared" si="1"/>
        <v>0</v>
      </c>
    </row>
    <row r="7" spans="1:8" x14ac:dyDescent="0.3">
      <c r="A7" s="11" t="s">
        <v>34</v>
      </c>
      <c r="B7" s="11" t="s">
        <v>36</v>
      </c>
      <c r="C7" s="6" t="s">
        <v>8</v>
      </c>
      <c r="D7" s="6">
        <v>8</v>
      </c>
      <c r="E7" s="6" t="s">
        <v>6</v>
      </c>
      <c r="F7" s="6">
        <v>0</v>
      </c>
      <c r="G7" s="6" t="str">
        <f t="shared" si="0"/>
        <v>No</v>
      </c>
      <c r="H7" s="11">
        <f t="shared" si="1"/>
        <v>8</v>
      </c>
    </row>
    <row r="8" spans="1:8" x14ac:dyDescent="0.3">
      <c r="A8" s="11" t="s">
        <v>34</v>
      </c>
      <c r="B8" s="11" t="s">
        <v>37</v>
      </c>
      <c r="C8" s="6" t="s">
        <v>7</v>
      </c>
      <c r="D8" s="6">
        <v>7</v>
      </c>
      <c r="E8" s="6" t="s">
        <v>6</v>
      </c>
      <c r="F8" s="6">
        <v>0</v>
      </c>
      <c r="G8" s="6" t="str">
        <f t="shared" si="0"/>
        <v>No</v>
      </c>
      <c r="H8" s="11">
        <f t="shared" si="1"/>
        <v>7</v>
      </c>
    </row>
    <row r="9" spans="1:8" x14ac:dyDescent="0.3">
      <c r="A9" s="11" t="s">
        <v>34</v>
      </c>
      <c r="B9" s="11" t="s">
        <v>38</v>
      </c>
      <c r="C9" s="6" t="s">
        <v>8</v>
      </c>
      <c r="D9" s="6">
        <v>9</v>
      </c>
      <c r="E9" s="6" t="s">
        <v>8</v>
      </c>
      <c r="F9" s="6">
        <v>8</v>
      </c>
      <c r="G9" s="6" t="str">
        <f t="shared" si="0"/>
        <v>Yes</v>
      </c>
      <c r="H9" s="11">
        <f t="shared" si="1"/>
        <v>1</v>
      </c>
    </row>
    <row r="10" spans="1:8" x14ac:dyDescent="0.3">
      <c r="A10" s="11" t="s">
        <v>39</v>
      </c>
      <c r="B10" s="11" t="s">
        <v>40</v>
      </c>
      <c r="C10" s="6" t="s">
        <v>8</v>
      </c>
      <c r="D10" s="6">
        <v>8</v>
      </c>
      <c r="E10" s="6" t="s">
        <v>8</v>
      </c>
      <c r="F10" s="6">
        <v>8</v>
      </c>
      <c r="G10" s="6" t="str">
        <f t="shared" si="0"/>
        <v>Yes</v>
      </c>
      <c r="H10" s="11">
        <f t="shared" si="1"/>
        <v>0</v>
      </c>
    </row>
    <row r="11" spans="1:8" x14ac:dyDescent="0.3">
      <c r="A11" s="11" t="s">
        <v>39</v>
      </c>
      <c r="B11" s="11" t="s">
        <v>41</v>
      </c>
      <c r="C11" s="6" t="s">
        <v>8</v>
      </c>
      <c r="D11" s="6">
        <v>8</v>
      </c>
      <c r="E11" s="6" t="s">
        <v>7</v>
      </c>
      <c r="F11" s="6">
        <v>5</v>
      </c>
      <c r="G11" s="6" t="str">
        <f t="shared" si="0"/>
        <v>No</v>
      </c>
      <c r="H11" s="11">
        <f t="shared" si="1"/>
        <v>3</v>
      </c>
    </row>
    <row r="12" spans="1:8" x14ac:dyDescent="0.3">
      <c r="A12" s="11" t="s">
        <v>39</v>
      </c>
      <c r="B12" s="11" t="s">
        <v>42</v>
      </c>
      <c r="C12" s="6" t="s">
        <v>6</v>
      </c>
      <c r="D12" s="6">
        <v>0</v>
      </c>
      <c r="E12" s="6" t="s">
        <v>6</v>
      </c>
      <c r="F12" s="6">
        <v>0</v>
      </c>
      <c r="G12" s="6" t="str">
        <f t="shared" si="0"/>
        <v>Yes</v>
      </c>
      <c r="H12" s="11">
        <f t="shared" si="1"/>
        <v>0</v>
      </c>
    </row>
    <row r="13" spans="1:8" x14ac:dyDescent="0.3">
      <c r="A13" s="11" t="s">
        <v>39</v>
      </c>
      <c r="B13" s="11" t="s">
        <v>43</v>
      </c>
      <c r="C13" s="6" t="s">
        <v>6</v>
      </c>
      <c r="D13" s="6">
        <v>0</v>
      </c>
      <c r="E13" s="6" t="s">
        <v>6</v>
      </c>
      <c r="F13" s="6">
        <v>0</v>
      </c>
      <c r="G13" s="6" t="str">
        <f t="shared" si="0"/>
        <v>Yes</v>
      </c>
      <c r="H13" s="11">
        <f t="shared" si="1"/>
        <v>0</v>
      </c>
    </row>
    <row r="14" spans="1:8" x14ac:dyDescent="0.3">
      <c r="A14" s="11" t="s">
        <v>39</v>
      </c>
      <c r="B14" s="11" t="s">
        <v>44</v>
      </c>
      <c r="C14" s="6" t="s">
        <v>8</v>
      </c>
      <c r="D14" s="6">
        <v>8</v>
      </c>
      <c r="E14" s="6" t="s">
        <v>8</v>
      </c>
      <c r="F14" s="6">
        <v>8</v>
      </c>
      <c r="G14" s="6" t="str">
        <f t="shared" si="0"/>
        <v>Yes</v>
      </c>
      <c r="H14" s="11">
        <f t="shared" si="1"/>
        <v>0</v>
      </c>
    </row>
    <row r="15" spans="1:8" x14ac:dyDescent="0.3">
      <c r="A15" s="11" t="s">
        <v>39</v>
      </c>
      <c r="B15" s="11" t="s">
        <v>45</v>
      </c>
      <c r="C15" s="6" t="s">
        <v>8</v>
      </c>
      <c r="D15" s="6">
        <v>8</v>
      </c>
      <c r="E15" s="6" t="s">
        <v>6</v>
      </c>
      <c r="F15" s="6">
        <v>0</v>
      </c>
      <c r="G15" s="6" t="str">
        <f t="shared" si="0"/>
        <v>No</v>
      </c>
      <c r="H15" s="11">
        <f t="shared" si="1"/>
        <v>8</v>
      </c>
    </row>
    <row r="16" spans="1:8" x14ac:dyDescent="0.3">
      <c r="A16" s="11" t="s">
        <v>39</v>
      </c>
      <c r="B16" s="11" t="s">
        <v>46</v>
      </c>
      <c r="C16" s="6" t="s">
        <v>8</v>
      </c>
      <c r="D16" s="6">
        <v>8</v>
      </c>
      <c r="E16" s="6" t="s">
        <v>8</v>
      </c>
      <c r="F16" s="6">
        <v>8</v>
      </c>
      <c r="G16" s="6" t="str">
        <f t="shared" si="0"/>
        <v>Yes</v>
      </c>
      <c r="H16" s="11">
        <f t="shared" si="1"/>
        <v>0</v>
      </c>
    </row>
    <row r="17" spans="1:8" x14ac:dyDescent="0.3">
      <c r="A17" s="11" t="s">
        <v>39</v>
      </c>
      <c r="B17" s="11" t="s">
        <v>47</v>
      </c>
      <c r="C17" s="6" t="s">
        <v>6</v>
      </c>
      <c r="D17" s="6">
        <v>0</v>
      </c>
      <c r="E17" s="6" t="s">
        <v>6</v>
      </c>
      <c r="F17" s="6">
        <v>0</v>
      </c>
      <c r="G17" s="6" t="str">
        <f t="shared" si="0"/>
        <v>Yes</v>
      </c>
      <c r="H17" s="11">
        <f t="shared" si="1"/>
        <v>0</v>
      </c>
    </row>
    <row r="18" spans="1:8" x14ac:dyDescent="0.3">
      <c r="A18" s="11" t="s">
        <v>39</v>
      </c>
      <c r="B18" s="11" t="s">
        <v>48</v>
      </c>
      <c r="C18" s="6" t="s">
        <v>6</v>
      </c>
      <c r="D18" s="6">
        <v>0</v>
      </c>
      <c r="E18" s="6" t="s">
        <v>6</v>
      </c>
      <c r="F18" s="6">
        <v>0</v>
      </c>
      <c r="G18" s="6" t="str">
        <f t="shared" si="0"/>
        <v>Yes</v>
      </c>
      <c r="H18" s="11">
        <f t="shared" si="1"/>
        <v>0</v>
      </c>
    </row>
    <row r="19" spans="1:8" x14ac:dyDescent="0.3">
      <c r="A19" s="11" t="s">
        <v>49</v>
      </c>
      <c r="B19" s="11" t="s">
        <v>50</v>
      </c>
      <c r="C19" s="6" t="s">
        <v>8</v>
      </c>
      <c r="D19" s="6">
        <v>7</v>
      </c>
      <c r="E19" s="6" t="s">
        <v>6</v>
      </c>
      <c r="F19" s="6">
        <v>0</v>
      </c>
      <c r="G19" s="6" t="str">
        <f t="shared" si="0"/>
        <v>No</v>
      </c>
      <c r="H19" s="11">
        <f t="shared" si="1"/>
        <v>7</v>
      </c>
    </row>
    <row r="20" spans="1:8" x14ac:dyDescent="0.3">
      <c r="A20" s="11" t="s">
        <v>49</v>
      </c>
      <c r="B20" s="11" t="s">
        <v>51</v>
      </c>
      <c r="C20" s="6" t="s">
        <v>6</v>
      </c>
      <c r="D20" s="6">
        <v>0</v>
      </c>
      <c r="E20" s="6" t="s">
        <v>6</v>
      </c>
      <c r="F20" s="6">
        <v>0</v>
      </c>
      <c r="G20" s="6" t="str">
        <f t="shared" si="0"/>
        <v>Yes</v>
      </c>
      <c r="H20" s="11">
        <f t="shared" si="1"/>
        <v>0</v>
      </c>
    </row>
    <row r="21" spans="1:8" x14ac:dyDescent="0.3">
      <c r="A21" s="11" t="s">
        <v>49</v>
      </c>
      <c r="B21" s="11" t="s">
        <v>52</v>
      </c>
      <c r="C21" s="6" t="s">
        <v>8</v>
      </c>
      <c r="D21" s="6">
        <v>8</v>
      </c>
      <c r="E21" s="6" t="s">
        <v>6</v>
      </c>
      <c r="F21" s="6">
        <v>0</v>
      </c>
      <c r="G21" s="6" t="str">
        <f t="shared" si="0"/>
        <v>No</v>
      </c>
      <c r="H21" s="11">
        <f t="shared" si="1"/>
        <v>8</v>
      </c>
    </row>
    <row r="22" spans="1:8" x14ac:dyDescent="0.3">
      <c r="A22" s="11" t="s">
        <v>49</v>
      </c>
      <c r="B22" s="11" t="s">
        <v>53</v>
      </c>
      <c r="C22" s="6" t="s">
        <v>7</v>
      </c>
      <c r="D22" s="6">
        <v>7</v>
      </c>
      <c r="E22" s="6" t="s">
        <v>7</v>
      </c>
      <c r="F22" s="6">
        <v>5</v>
      </c>
      <c r="G22" s="6" t="str">
        <f t="shared" si="0"/>
        <v>Yes</v>
      </c>
      <c r="H22" s="11">
        <f t="shared" si="1"/>
        <v>2</v>
      </c>
    </row>
    <row r="23" spans="1:8" x14ac:dyDescent="0.3">
      <c r="A23" s="11" t="s">
        <v>49</v>
      </c>
      <c r="B23" s="11" t="s">
        <v>54</v>
      </c>
      <c r="C23" s="6" t="s">
        <v>7</v>
      </c>
      <c r="D23" s="6">
        <v>7</v>
      </c>
      <c r="E23" s="6" t="s">
        <v>8</v>
      </c>
      <c r="F23" s="6">
        <v>7</v>
      </c>
      <c r="G23" s="6" t="str">
        <f t="shared" si="0"/>
        <v>No</v>
      </c>
      <c r="H23" s="11">
        <f t="shared" si="1"/>
        <v>0</v>
      </c>
    </row>
    <row r="24" spans="1:8" x14ac:dyDescent="0.3">
      <c r="A24" s="11" t="s">
        <v>49</v>
      </c>
      <c r="B24" s="11" t="s">
        <v>55</v>
      </c>
      <c r="C24" s="6" t="s">
        <v>6</v>
      </c>
      <c r="D24" s="6">
        <v>0</v>
      </c>
      <c r="E24" s="6" t="s">
        <v>6</v>
      </c>
      <c r="F24" s="6">
        <v>0</v>
      </c>
      <c r="G24" s="6" t="str">
        <f t="shared" si="0"/>
        <v>Yes</v>
      </c>
      <c r="H24" s="11">
        <f t="shared" si="1"/>
        <v>0</v>
      </c>
    </row>
    <row r="25" spans="1:8" x14ac:dyDescent="0.3">
      <c r="A25" s="11" t="s">
        <v>49</v>
      </c>
      <c r="B25" s="11" t="s">
        <v>56</v>
      </c>
      <c r="C25" s="6" t="s">
        <v>8</v>
      </c>
      <c r="D25" s="6">
        <v>7</v>
      </c>
      <c r="E25" s="6" t="s">
        <v>6</v>
      </c>
      <c r="F25" s="6">
        <v>0</v>
      </c>
      <c r="G25" s="6" t="str">
        <f t="shared" si="0"/>
        <v>No</v>
      </c>
      <c r="H25" s="11">
        <f t="shared" si="1"/>
        <v>7</v>
      </c>
    </row>
    <row r="26" spans="1:8" x14ac:dyDescent="0.3">
      <c r="A26" s="11" t="s">
        <v>49</v>
      </c>
      <c r="B26" s="11" t="s">
        <v>57</v>
      </c>
      <c r="C26" s="6" t="s">
        <v>8</v>
      </c>
      <c r="D26" s="6">
        <v>9</v>
      </c>
      <c r="E26" s="6" t="s">
        <v>6</v>
      </c>
      <c r="F26" s="6">
        <v>0</v>
      </c>
      <c r="G26" s="6" t="str">
        <f t="shared" si="0"/>
        <v>No</v>
      </c>
      <c r="H26" s="11">
        <f t="shared" si="1"/>
        <v>9</v>
      </c>
    </row>
    <row r="27" spans="1:8" x14ac:dyDescent="0.3">
      <c r="A27" s="11" t="s">
        <v>58</v>
      </c>
      <c r="B27" s="11" t="s">
        <v>59</v>
      </c>
      <c r="C27" s="6" t="s">
        <v>8</v>
      </c>
      <c r="D27" s="6">
        <v>8</v>
      </c>
      <c r="E27" s="6" t="s">
        <v>7</v>
      </c>
      <c r="F27" s="6">
        <v>7</v>
      </c>
      <c r="G27" s="6" t="str">
        <f t="shared" si="0"/>
        <v>No</v>
      </c>
      <c r="H27" s="11">
        <f t="shared" si="1"/>
        <v>1</v>
      </c>
    </row>
    <row r="28" spans="1:8" x14ac:dyDescent="0.3">
      <c r="A28" s="11" t="s">
        <v>58</v>
      </c>
      <c r="B28" s="11" t="s">
        <v>60</v>
      </c>
      <c r="C28" s="6" t="s">
        <v>7</v>
      </c>
      <c r="D28" s="6">
        <v>3</v>
      </c>
      <c r="E28" s="6" t="s">
        <v>6</v>
      </c>
      <c r="F28" s="6">
        <v>0</v>
      </c>
      <c r="G28" s="6" t="str">
        <f t="shared" si="0"/>
        <v>No</v>
      </c>
      <c r="H28" s="11">
        <f t="shared" si="1"/>
        <v>3</v>
      </c>
    </row>
    <row r="29" spans="1:8" x14ac:dyDescent="0.3">
      <c r="A29" s="11" t="s">
        <v>58</v>
      </c>
      <c r="B29" s="11" t="s">
        <v>61</v>
      </c>
      <c r="C29" s="6" t="s">
        <v>6</v>
      </c>
      <c r="D29" s="6">
        <v>0</v>
      </c>
      <c r="E29" s="6" t="s">
        <v>6</v>
      </c>
      <c r="F29" s="6">
        <v>0</v>
      </c>
      <c r="G29" s="6" t="str">
        <f t="shared" si="0"/>
        <v>Yes</v>
      </c>
      <c r="H29" s="11">
        <f t="shared" si="1"/>
        <v>0</v>
      </c>
    </row>
    <row r="30" spans="1:8" x14ac:dyDescent="0.3">
      <c r="A30" s="11" t="s">
        <v>58</v>
      </c>
      <c r="B30" s="11" t="s">
        <v>62</v>
      </c>
      <c r="C30" s="6" t="s">
        <v>6</v>
      </c>
      <c r="D30" s="6">
        <v>0</v>
      </c>
      <c r="E30" s="6" t="s">
        <v>6</v>
      </c>
      <c r="F30" s="6">
        <v>0</v>
      </c>
      <c r="G30" s="6" t="str">
        <f t="shared" si="0"/>
        <v>Yes</v>
      </c>
      <c r="H30" s="11">
        <f t="shared" si="1"/>
        <v>0</v>
      </c>
    </row>
    <row r="31" spans="1:8" x14ac:dyDescent="0.3">
      <c r="A31" s="11" t="s">
        <v>58</v>
      </c>
      <c r="B31" s="11" t="s">
        <v>63</v>
      </c>
      <c r="C31" s="6" t="s">
        <v>6</v>
      </c>
      <c r="D31" s="6">
        <v>0</v>
      </c>
      <c r="E31" s="6" t="s">
        <v>6</v>
      </c>
      <c r="F31" s="6">
        <v>0</v>
      </c>
      <c r="G31" s="6" t="str">
        <f t="shared" si="0"/>
        <v>Yes</v>
      </c>
      <c r="H31" s="11">
        <f t="shared" si="1"/>
        <v>0</v>
      </c>
    </row>
    <row r="32" spans="1:8" x14ac:dyDescent="0.3">
      <c r="A32" s="11" t="s">
        <v>58</v>
      </c>
      <c r="B32" s="11" t="s">
        <v>64</v>
      </c>
      <c r="C32" s="6" t="s">
        <v>7</v>
      </c>
      <c r="D32" s="6">
        <v>7</v>
      </c>
      <c r="E32" s="6" t="s">
        <v>6</v>
      </c>
      <c r="F32" s="6">
        <v>0</v>
      </c>
      <c r="G32" s="6" t="str">
        <f t="shared" si="0"/>
        <v>No</v>
      </c>
      <c r="H32" s="11">
        <f t="shared" si="1"/>
        <v>7</v>
      </c>
    </row>
    <row r="33" spans="1:8" x14ac:dyDescent="0.3">
      <c r="A33" s="11" t="s">
        <v>58</v>
      </c>
      <c r="B33" s="11" t="s">
        <v>65</v>
      </c>
      <c r="C33" s="6" t="s">
        <v>8</v>
      </c>
      <c r="D33" s="6">
        <v>8</v>
      </c>
      <c r="E33" s="6" t="s">
        <v>6</v>
      </c>
      <c r="F33" s="6">
        <v>0</v>
      </c>
      <c r="G33" s="6" t="str">
        <f t="shared" si="0"/>
        <v>No</v>
      </c>
      <c r="H33" s="11">
        <f t="shared" si="1"/>
        <v>8</v>
      </c>
    </row>
    <row r="34" spans="1:8" x14ac:dyDescent="0.3">
      <c r="A34" s="11" t="s">
        <v>58</v>
      </c>
      <c r="B34" s="11" t="s">
        <v>66</v>
      </c>
      <c r="C34" s="6" t="s">
        <v>8</v>
      </c>
      <c r="D34" s="6">
        <v>8</v>
      </c>
      <c r="E34" s="6" t="s">
        <v>6</v>
      </c>
      <c r="F34" s="6">
        <v>0</v>
      </c>
      <c r="G34" s="6" t="str">
        <f t="shared" si="0"/>
        <v>No</v>
      </c>
      <c r="H34" s="11">
        <f t="shared" si="1"/>
        <v>8</v>
      </c>
    </row>
    <row r="35" spans="1:8" x14ac:dyDescent="0.3">
      <c r="A35" s="11" t="s">
        <v>58</v>
      </c>
      <c r="B35" s="11" t="s">
        <v>67</v>
      </c>
      <c r="C35" s="6" t="s">
        <v>8</v>
      </c>
      <c r="D35" s="6">
        <v>8</v>
      </c>
      <c r="E35" s="6" t="s">
        <v>6</v>
      </c>
      <c r="F35" s="6">
        <v>0</v>
      </c>
      <c r="G35" s="6" t="str">
        <f t="shared" si="0"/>
        <v>No</v>
      </c>
      <c r="H35" s="11">
        <f t="shared" si="1"/>
        <v>8</v>
      </c>
    </row>
    <row r="36" spans="1:8" x14ac:dyDescent="0.3">
      <c r="A36" s="11" t="s">
        <v>49</v>
      </c>
      <c r="B36" s="11" t="s">
        <v>68</v>
      </c>
      <c r="C36" s="6" t="s">
        <v>6</v>
      </c>
      <c r="D36" s="6">
        <v>0</v>
      </c>
      <c r="E36" s="6" t="s">
        <v>6</v>
      </c>
      <c r="F36" s="6">
        <v>0</v>
      </c>
      <c r="G36" s="6" t="str">
        <f t="shared" si="0"/>
        <v>Yes</v>
      </c>
      <c r="H36" s="11">
        <f t="shared" si="1"/>
        <v>0</v>
      </c>
    </row>
  </sheetData>
  <autoFilter ref="A1:H36" xr:uid="{00000000-0009-0000-0000-000001000000}"/>
  <conditionalFormatting sqref="C2:C36">
    <cfRule type="cellIs" dxfId="14" priority="2" operator="equal">
      <formula>"benign"</formula>
    </cfRule>
    <cfRule type="cellIs" dxfId="13" priority="3" operator="equal">
      <formula>"suspicious"</formula>
    </cfRule>
    <cfRule type="cellIs" dxfId="12" priority="4" operator="equal">
      <formula>"malicious"</formula>
    </cfRule>
  </conditionalFormatting>
  <conditionalFormatting sqref="E2:E36">
    <cfRule type="cellIs" dxfId="11" priority="5" operator="equal">
      <formula>"benign"</formula>
    </cfRule>
    <cfRule type="cellIs" dxfId="10" priority="6" operator="equal">
      <formula>"suspicious"</formula>
    </cfRule>
    <cfRule type="cellIs" dxfId="9" priority="7" operator="equal">
      <formula>"malicious"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6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10" customWidth="1"/>
    <col min="2" max="2" width="52" customWidth="1"/>
    <col min="3" max="4" width="16" customWidth="1"/>
    <col min="5" max="6" width="18" customWidth="1"/>
    <col min="7" max="7" width="16" customWidth="1"/>
    <col min="8" max="8" width="22" customWidth="1"/>
  </cols>
  <sheetData>
    <row r="1" spans="1:8" ht="42" customHeight="1" x14ac:dyDescent="0.3">
      <c r="A1" s="4" t="s">
        <v>21</v>
      </c>
      <c r="B1" s="4" t="s">
        <v>22</v>
      </c>
      <c r="C1" s="4" t="s">
        <v>23</v>
      </c>
      <c r="D1" s="4" t="s">
        <v>24</v>
      </c>
      <c r="E1" s="4" t="s">
        <v>25</v>
      </c>
      <c r="F1" s="4" t="s">
        <v>26</v>
      </c>
      <c r="G1" s="4" t="s">
        <v>27</v>
      </c>
      <c r="H1" s="4" t="s">
        <v>28</v>
      </c>
    </row>
    <row r="2" spans="1:8" x14ac:dyDescent="0.3">
      <c r="A2" s="11" t="s">
        <v>29</v>
      </c>
      <c r="B2" s="11" t="s">
        <v>69</v>
      </c>
      <c r="C2" s="6" t="s">
        <v>7</v>
      </c>
      <c r="D2" s="6">
        <v>6</v>
      </c>
      <c r="E2" s="6" t="s">
        <v>8</v>
      </c>
      <c r="F2" s="6">
        <v>8</v>
      </c>
      <c r="G2" s="6" t="str">
        <f t="shared" ref="G2:G16" si="0">IF(C2=E2,"Yes","No")</f>
        <v>No</v>
      </c>
      <c r="H2" s="11">
        <f t="shared" ref="H2:H16" si="1">D2-F2</f>
        <v>-2</v>
      </c>
    </row>
    <row r="3" spans="1:8" x14ac:dyDescent="0.3">
      <c r="A3" s="11" t="s">
        <v>34</v>
      </c>
      <c r="B3" s="11" t="s">
        <v>70</v>
      </c>
      <c r="C3" s="6" t="s">
        <v>8</v>
      </c>
      <c r="D3" s="6">
        <v>8</v>
      </c>
      <c r="E3" s="6" t="s">
        <v>8</v>
      </c>
      <c r="F3" s="6">
        <v>8</v>
      </c>
      <c r="G3" s="6" t="str">
        <f t="shared" si="0"/>
        <v>Yes</v>
      </c>
      <c r="H3" s="11">
        <f t="shared" si="1"/>
        <v>0</v>
      </c>
    </row>
    <row r="4" spans="1:8" x14ac:dyDescent="0.3">
      <c r="A4" s="11" t="s">
        <v>29</v>
      </c>
      <c r="B4" s="11" t="s">
        <v>71</v>
      </c>
      <c r="C4" s="6" t="s">
        <v>8</v>
      </c>
      <c r="D4" s="6">
        <v>8</v>
      </c>
      <c r="E4" s="6" t="s">
        <v>8</v>
      </c>
      <c r="F4" s="6">
        <v>8</v>
      </c>
      <c r="G4" s="6" t="str">
        <f t="shared" si="0"/>
        <v>Yes</v>
      </c>
      <c r="H4" s="11">
        <f t="shared" si="1"/>
        <v>0</v>
      </c>
    </row>
    <row r="5" spans="1:8" x14ac:dyDescent="0.3">
      <c r="A5" s="11" t="s">
        <v>58</v>
      </c>
      <c r="B5" s="11" t="s">
        <v>72</v>
      </c>
      <c r="C5" s="6" t="s">
        <v>8</v>
      </c>
      <c r="D5" s="6">
        <v>9</v>
      </c>
      <c r="E5" s="6" t="s">
        <v>8</v>
      </c>
      <c r="F5" s="6">
        <v>8</v>
      </c>
      <c r="G5" s="6" t="str">
        <f t="shared" si="0"/>
        <v>Yes</v>
      </c>
      <c r="H5" s="11">
        <f t="shared" si="1"/>
        <v>1</v>
      </c>
    </row>
    <row r="6" spans="1:8" x14ac:dyDescent="0.3">
      <c r="A6" s="11" t="s">
        <v>39</v>
      </c>
      <c r="B6" s="11" t="s">
        <v>73</v>
      </c>
      <c r="C6" s="6" t="s">
        <v>8</v>
      </c>
      <c r="D6" s="6">
        <v>8</v>
      </c>
      <c r="E6" s="6" t="s">
        <v>8</v>
      </c>
      <c r="F6" s="6">
        <v>8</v>
      </c>
      <c r="G6" s="6" t="str">
        <f t="shared" si="0"/>
        <v>Yes</v>
      </c>
      <c r="H6" s="11">
        <f t="shared" si="1"/>
        <v>0</v>
      </c>
    </row>
    <row r="7" spans="1:8" x14ac:dyDescent="0.3">
      <c r="A7" s="11" t="s">
        <v>39</v>
      </c>
      <c r="B7" s="11" t="s">
        <v>74</v>
      </c>
      <c r="C7" s="6" t="s">
        <v>8</v>
      </c>
      <c r="D7" s="6">
        <v>9</v>
      </c>
      <c r="E7" s="6" t="s">
        <v>8</v>
      </c>
      <c r="F7" s="6">
        <v>9</v>
      </c>
      <c r="G7" s="6" t="str">
        <f t="shared" si="0"/>
        <v>Yes</v>
      </c>
      <c r="H7" s="11">
        <f t="shared" si="1"/>
        <v>0</v>
      </c>
    </row>
    <row r="8" spans="1:8" x14ac:dyDescent="0.3">
      <c r="A8" s="11" t="s">
        <v>39</v>
      </c>
      <c r="B8" s="11" t="s">
        <v>75</v>
      </c>
      <c r="C8" s="6" t="s">
        <v>8</v>
      </c>
      <c r="D8" s="6">
        <v>8</v>
      </c>
      <c r="E8" s="6" t="s">
        <v>8</v>
      </c>
      <c r="F8" s="6">
        <v>8</v>
      </c>
      <c r="G8" s="6" t="str">
        <f t="shared" si="0"/>
        <v>Yes</v>
      </c>
      <c r="H8" s="11">
        <f t="shared" si="1"/>
        <v>0</v>
      </c>
    </row>
    <row r="9" spans="1:8" x14ac:dyDescent="0.3">
      <c r="A9" s="11" t="s">
        <v>39</v>
      </c>
      <c r="B9" s="11" t="s">
        <v>76</v>
      </c>
      <c r="C9" s="6" t="s">
        <v>8</v>
      </c>
      <c r="D9" s="6">
        <v>8</v>
      </c>
      <c r="E9" s="6" t="s">
        <v>8</v>
      </c>
      <c r="F9" s="6">
        <v>8</v>
      </c>
      <c r="G9" s="6" t="str">
        <f t="shared" si="0"/>
        <v>Yes</v>
      </c>
      <c r="H9" s="11">
        <f t="shared" si="1"/>
        <v>0</v>
      </c>
    </row>
    <row r="10" spans="1:8" x14ac:dyDescent="0.3">
      <c r="A10" s="11" t="s">
        <v>49</v>
      </c>
      <c r="B10" s="11" t="s">
        <v>77</v>
      </c>
      <c r="C10" s="6" t="s">
        <v>8</v>
      </c>
      <c r="D10" s="6">
        <v>8</v>
      </c>
      <c r="E10" s="6" t="s">
        <v>8</v>
      </c>
      <c r="F10" s="6">
        <v>8</v>
      </c>
      <c r="G10" s="6" t="str">
        <f t="shared" si="0"/>
        <v>Yes</v>
      </c>
      <c r="H10" s="11">
        <f t="shared" si="1"/>
        <v>0</v>
      </c>
    </row>
    <row r="11" spans="1:8" x14ac:dyDescent="0.3">
      <c r="A11" s="11" t="s">
        <v>49</v>
      </c>
      <c r="B11" s="11" t="s">
        <v>78</v>
      </c>
      <c r="C11" s="6" t="s">
        <v>8</v>
      </c>
      <c r="D11" s="6">
        <v>9</v>
      </c>
      <c r="E11" s="6" t="s">
        <v>8</v>
      </c>
      <c r="F11" s="6">
        <v>9</v>
      </c>
      <c r="G11" s="6" t="str">
        <f t="shared" si="0"/>
        <v>Yes</v>
      </c>
      <c r="H11" s="11">
        <f t="shared" si="1"/>
        <v>0</v>
      </c>
    </row>
    <row r="12" spans="1:8" x14ac:dyDescent="0.3">
      <c r="A12" s="11" t="s">
        <v>49</v>
      </c>
      <c r="B12" s="11" t="s">
        <v>79</v>
      </c>
      <c r="C12" s="6" t="s">
        <v>8</v>
      </c>
      <c r="D12" s="6">
        <v>8</v>
      </c>
      <c r="E12" s="6" t="s">
        <v>8</v>
      </c>
      <c r="F12" s="6">
        <v>8</v>
      </c>
      <c r="G12" s="6" t="str">
        <f t="shared" si="0"/>
        <v>Yes</v>
      </c>
      <c r="H12" s="11">
        <f t="shared" si="1"/>
        <v>0</v>
      </c>
    </row>
    <row r="13" spans="1:8" x14ac:dyDescent="0.3">
      <c r="A13" s="11" t="s">
        <v>49</v>
      </c>
      <c r="B13" s="11" t="s">
        <v>80</v>
      </c>
      <c r="C13" s="6" t="s">
        <v>8</v>
      </c>
      <c r="D13" s="6">
        <v>7</v>
      </c>
      <c r="E13" s="6" t="s">
        <v>7</v>
      </c>
      <c r="F13" s="6">
        <v>6</v>
      </c>
      <c r="G13" s="6" t="str">
        <f t="shared" si="0"/>
        <v>No</v>
      </c>
      <c r="H13" s="11">
        <f t="shared" si="1"/>
        <v>1</v>
      </c>
    </row>
    <row r="14" spans="1:8" x14ac:dyDescent="0.3">
      <c r="A14" s="11" t="s">
        <v>58</v>
      </c>
      <c r="B14" s="11" t="s">
        <v>81</v>
      </c>
      <c r="C14" s="6" t="s">
        <v>8</v>
      </c>
      <c r="D14" s="6">
        <v>8</v>
      </c>
      <c r="E14" s="6" t="s">
        <v>8</v>
      </c>
      <c r="F14" s="6">
        <v>8</v>
      </c>
      <c r="G14" s="6" t="str">
        <f t="shared" si="0"/>
        <v>Yes</v>
      </c>
      <c r="H14" s="11">
        <f t="shared" si="1"/>
        <v>0</v>
      </c>
    </row>
    <row r="15" spans="1:8" x14ac:dyDescent="0.3">
      <c r="A15" s="11" t="s">
        <v>58</v>
      </c>
      <c r="B15" s="11" t="s">
        <v>82</v>
      </c>
      <c r="C15" s="6" t="s">
        <v>8</v>
      </c>
      <c r="D15" s="6">
        <v>8</v>
      </c>
      <c r="E15" s="6" t="s">
        <v>8</v>
      </c>
      <c r="F15" s="6">
        <v>8</v>
      </c>
      <c r="G15" s="6" t="str">
        <f t="shared" si="0"/>
        <v>Yes</v>
      </c>
      <c r="H15" s="11">
        <f t="shared" si="1"/>
        <v>0</v>
      </c>
    </row>
    <row r="16" spans="1:8" x14ac:dyDescent="0.3">
      <c r="A16" s="11" t="s">
        <v>49</v>
      </c>
      <c r="B16" s="11" t="s">
        <v>83</v>
      </c>
      <c r="C16" s="6" t="s">
        <v>8</v>
      </c>
      <c r="D16" s="6">
        <v>9</v>
      </c>
      <c r="E16" s="6" t="s">
        <v>8</v>
      </c>
      <c r="F16" s="6">
        <v>9</v>
      </c>
      <c r="G16" s="6" t="str">
        <f t="shared" si="0"/>
        <v>Yes</v>
      </c>
      <c r="H16" s="11">
        <f t="shared" si="1"/>
        <v>0</v>
      </c>
    </row>
  </sheetData>
  <autoFilter ref="A1:H16" xr:uid="{00000000-0009-0000-0000-000002000000}"/>
  <conditionalFormatting sqref="C2:C16">
    <cfRule type="cellIs" dxfId="8" priority="2" operator="equal">
      <formula>"benign"</formula>
    </cfRule>
    <cfRule type="cellIs" dxfId="7" priority="3" operator="equal">
      <formula>"suspicious"</formula>
    </cfRule>
    <cfRule type="cellIs" dxfId="6" priority="4" operator="equal">
      <formula>"malicious"</formula>
    </cfRule>
  </conditionalFormatting>
  <conditionalFormatting sqref="E2:E16">
    <cfRule type="cellIs" dxfId="5" priority="5" operator="equal">
      <formula>"benign"</formula>
    </cfRule>
    <cfRule type="cellIs" dxfId="4" priority="6" operator="equal">
      <formula>"suspicious"</formula>
    </cfRule>
    <cfRule type="cellIs" dxfId="3" priority="7" operator="equal">
      <formula>"malicious"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01"/>
  <sheetViews>
    <sheetView zoomScaleNormal="100" workbookViewId="0">
      <pane ySplit="1" topLeftCell="A89" activePane="bottomLeft" state="frozen"/>
      <selection pane="bottomLeft" activeCell="F104" sqref="F104"/>
    </sheetView>
  </sheetViews>
  <sheetFormatPr defaultColWidth="8.6640625" defaultRowHeight="14.4" x14ac:dyDescent="0.3"/>
  <cols>
    <col min="1" max="2" width="12" customWidth="1"/>
    <col min="3" max="3" width="10" customWidth="1"/>
    <col min="4" max="4" width="52" customWidth="1"/>
    <col min="5" max="5" width="10" customWidth="1"/>
    <col min="6" max="6" width="44" customWidth="1"/>
    <col min="7" max="7" width="12" customWidth="1"/>
    <col min="8" max="9" width="11" customWidth="1"/>
  </cols>
  <sheetData>
    <row r="1" spans="1:9" ht="30" customHeight="1" x14ac:dyDescent="0.3">
      <c r="A1" s="4" t="s">
        <v>84</v>
      </c>
      <c r="B1" s="4" t="s">
        <v>85</v>
      </c>
      <c r="C1" s="4" t="s">
        <v>86</v>
      </c>
      <c r="D1" s="4" t="s">
        <v>87</v>
      </c>
      <c r="E1" s="4" t="s">
        <v>21</v>
      </c>
      <c r="F1" s="4" t="s">
        <v>22</v>
      </c>
      <c r="G1" s="4" t="s">
        <v>3</v>
      </c>
      <c r="H1" s="4" t="s">
        <v>88</v>
      </c>
      <c r="I1" s="4" t="s">
        <v>89</v>
      </c>
    </row>
    <row r="2" spans="1:9" x14ac:dyDescent="0.3">
      <c r="A2" s="11" t="s">
        <v>90</v>
      </c>
      <c r="B2" s="11" t="s">
        <v>4</v>
      </c>
      <c r="C2" s="11" t="s">
        <v>91</v>
      </c>
      <c r="D2" s="11" t="s">
        <v>92</v>
      </c>
      <c r="E2" s="11" t="s">
        <v>29</v>
      </c>
      <c r="F2" s="11" t="s">
        <v>30</v>
      </c>
      <c r="G2" s="11" t="s">
        <v>6</v>
      </c>
      <c r="H2" s="11">
        <v>0</v>
      </c>
      <c r="I2" s="11" t="s">
        <v>93</v>
      </c>
    </row>
    <row r="3" spans="1:9" x14ac:dyDescent="0.3">
      <c r="A3" s="11" t="s">
        <v>90</v>
      </c>
      <c r="B3" s="11" t="s">
        <v>4</v>
      </c>
      <c r="C3" s="11" t="s">
        <v>91</v>
      </c>
      <c r="D3" s="11" t="s">
        <v>94</v>
      </c>
      <c r="E3" s="11" t="s">
        <v>29</v>
      </c>
      <c r="F3" s="11" t="s">
        <v>31</v>
      </c>
      <c r="G3" s="11" t="s">
        <v>7</v>
      </c>
      <c r="H3" s="11">
        <v>6</v>
      </c>
      <c r="I3" s="11" t="s">
        <v>93</v>
      </c>
    </row>
    <row r="4" spans="1:9" x14ac:dyDescent="0.3">
      <c r="A4" s="11" t="s">
        <v>90</v>
      </c>
      <c r="B4" s="11" t="s">
        <v>4</v>
      </c>
      <c r="C4" s="11" t="s">
        <v>91</v>
      </c>
      <c r="D4" s="11" t="s">
        <v>95</v>
      </c>
      <c r="E4" s="11" t="s">
        <v>29</v>
      </c>
      <c r="F4" s="11" t="s">
        <v>32</v>
      </c>
      <c r="G4" s="11" t="s">
        <v>7</v>
      </c>
      <c r="H4" s="11">
        <v>5</v>
      </c>
      <c r="I4" s="11" t="s">
        <v>93</v>
      </c>
    </row>
    <row r="5" spans="1:9" x14ac:dyDescent="0.3">
      <c r="A5" s="11" t="s">
        <v>90</v>
      </c>
      <c r="B5" s="11" t="s">
        <v>4</v>
      </c>
      <c r="C5" s="11" t="s">
        <v>91</v>
      </c>
      <c r="D5" s="11" t="s">
        <v>96</v>
      </c>
      <c r="E5" s="11" t="s">
        <v>29</v>
      </c>
      <c r="F5" s="11" t="s">
        <v>33</v>
      </c>
      <c r="G5" s="11" t="s">
        <v>7</v>
      </c>
      <c r="H5" s="11">
        <v>7</v>
      </c>
      <c r="I5" s="11" t="s">
        <v>93</v>
      </c>
    </row>
    <row r="6" spans="1:9" x14ac:dyDescent="0.3">
      <c r="A6" s="11" t="s">
        <v>90</v>
      </c>
      <c r="B6" s="11" t="s">
        <v>4</v>
      </c>
      <c r="C6" s="11" t="s">
        <v>91</v>
      </c>
      <c r="D6" s="11" t="s">
        <v>97</v>
      </c>
      <c r="E6" s="11" t="s">
        <v>34</v>
      </c>
      <c r="F6" s="11" t="s">
        <v>35</v>
      </c>
      <c r="G6" s="11" t="s">
        <v>6</v>
      </c>
      <c r="H6" s="11">
        <v>0</v>
      </c>
      <c r="I6" s="11" t="s">
        <v>93</v>
      </c>
    </row>
    <row r="7" spans="1:9" x14ac:dyDescent="0.3">
      <c r="A7" s="11" t="s">
        <v>90</v>
      </c>
      <c r="B7" s="11" t="s">
        <v>4</v>
      </c>
      <c r="C7" s="11" t="s">
        <v>91</v>
      </c>
      <c r="D7" s="11" t="s">
        <v>98</v>
      </c>
      <c r="E7" s="11" t="s">
        <v>34</v>
      </c>
      <c r="F7" s="11" t="s">
        <v>36</v>
      </c>
      <c r="G7" s="11" t="s">
        <v>8</v>
      </c>
      <c r="H7" s="11">
        <v>8</v>
      </c>
      <c r="I7" s="11" t="s">
        <v>93</v>
      </c>
    </row>
    <row r="8" spans="1:9" x14ac:dyDescent="0.3">
      <c r="A8" s="11" t="s">
        <v>90</v>
      </c>
      <c r="B8" s="11" t="s">
        <v>4</v>
      </c>
      <c r="C8" s="11" t="s">
        <v>91</v>
      </c>
      <c r="D8" s="11" t="s">
        <v>99</v>
      </c>
      <c r="E8" s="11" t="s">
        <v>34</v>
      </c>
      <c r="F8" s="11" t="s">
        <v>37</v>
      </c>
      <c r="G8" s="11" t="s">
        <v>7</v>
      </c>
      <c r="H8" s="11">
        <v>7</v>
      </c>
      <c r="I8" s="11" t="s">
        <v>93</v>
      </c>
    </row>
    <row r="9" spans="1:9" x14ac:dyDescent="0.3">
      <c r="A9" s="11" t="s">
        <v>90</v>
      </c>
      <c r="B9" s="11" t="s">
        <v>4</v>
      </c>
      <c r="C9" s="11" t="s">
        <v>91</v>
      </c>
      <c r="D9" s="11" t="s">
        <v>100</v>
      </c>
      <c r="E9" s="11" t="s">
        <v>34</v>
      </c>
      <c r="F9" s="11" t="s">
        <v>38</v>
      </c>
      <c r="G9" s="11" t="s">
        <v>8</v>
      </c>
      <c r="H9" s="11">
        <v>9</v>
      </c>
      <c r="I9" s="11" t="s">
        <v>93</v>
      </c>
    </row>
    <row r="10" spans="1:9" x14ac:dyDescent="0.3">
      <c r="A10" s="11" t="s">
        <v>90</v>
      </c>
      <c r="B10" s="11" t="s">
        <v>4</v>
      </c>
      <c r="C10" s="11" t="s">
        <v>91</v>
      </c>
      <c r="D10" s="11" t="s">
        <v>101</v>
      </c>
      <c r="E10" s="11" t="s">
        <v>39</v>
      </c>
      <c r="F10" s="11" t="s">
        <v>40</v>
      </c>
      <c r="G10" s="11" t="s">
        <v>8</v>
      </c>
      <c r="H10" s="11">
        <v>8</v>
      </c>
      <c r="I10" s="11" t="s">
        <v>93</v>
      </c>
    </row>
    <row r="11" spans="1:9" x14ac:dyDescent="0.3">
      <c r="A11" s="11" t="s">
        <v>90</v>
      </c>
      <c r="B11" s="11" t="s">
        <v>4</v>
      </c>
      <c r="C11" s="11" t="s">
        <v>91</v>
      </c>
      <c r="D11" s="11" t="s">
        <v>102</v>
      </c>
      <c r="E11" s="11" t="s">
        <v>39</v>
      </c>
      <c r="F11" s="11" t="s">
        <v>41</v>
      </c>
      <c r="G11" s="11" t="s">
        <v>8</v>
      </c>
      <c r="H11" s="11">
        <v>8</v>
      </c>
      <c r="I11" s="11" t="s">
        <v>93</v>
      </c>
    </row>
    <row r="12" spans="1:9" x14ac:dyDescent="0.3">
      <c r="A12" s="11" t="s">
        <v>90</v>
      </c>
      <c r="B12" s="11" t="s">
        <v>4</v>
      </c>
      <c r="C12" s="11" t="s">
        <v>91</v>
      </c>
      <c r="D12" s="11" t="s">
        <v>103</v>
      </c>
      <c r="E12" s="11" t="s">
        <v>39</v>
      </c>
      <c r="F12" s="11" t="s">
        <v>42</v>
      </c>
      <c r="G12" s="11" t="s">
        <v>6</v>
      </c>
      <c r="H12" s="11">
        <v>0</v>
      </c>
      <c r="I12" s="11" t="s">
        <v>93</v>
      </c>
    </row>
    <row r="13" spans="1:9" x14ac:dyDescent="0.3">
      <c r="A13" s="11" t="s">
        <v>90</v>
      </c>
      <c r="B13" s="11" t="s">
        <v>4</v>
      </c>
      <c r="C13" s="11" t="s">
        <v>91</v>
      </c>
      <c r="D13" s="11" t="s">
        <v>104</v>
      </c>
      <c r="E13" s="11" t="s">
        <v>39</v>
      </c>
      <c r="F13" s="11" t="s">
        <v>43</v>
      </c>
      <c r="G13" s="11" t="s">
        <v>6</v>
      </c>
      <c r="H13" s="11">
        <v>0</v>
      </c>
      <c r="I13" s="11" t="s">
        <v>93</v>
      </c>
    </row>
    <row r="14" spans="1:9" x14ac:dyDescent="0.3">
      <c r="A14" s="11" t="s">
        <v>90</v>
      </c>
      <c r="B14" s="11" t="s">
        <v>4</v>
      </c>
      <c r="C14" s="11" t="s">
        <v>91</v>
      </c>
      <c r="D14" s="11" t="s">
        <v>105</v>
      </c>
      <c r="E14" s="11" t="s">
        <v>39</v>
      </c>
      <c r="F14" s="11" t="s">
        <v>44</v>
      </c>
      <c r="G14" s="11" t="s">
        <v>8</v>
      </c>
      <c r="H14" s="11">
        <v>8</v>
      </c>
      <c r="I14" s="11" t="s">
        <v>93</v>
      </c>
    </row>
    <row r="15" spans="1:9" x14ac:dyDescent="0.3">
      <c r="A15" s="11" t="s">
        <v>90</v>
      </c>
      <c r="B15" s="11" t="s">
        <v>4</v>
      </c>
      <c r="C15" s="11" t="s">
        <v>91</v>
      </c>
      <c r="D15" s="11" t="s">
        <v>106</v>
      </c>
      <c r="E15" s="11" t="s">
        <v>39</v>
      </c>
      <c r="F15" s="11" t="s">
        <v>45</v>
      </c>
      <c r="G15" s="11" t="s">
        <v>8</v>
      </c>
      <c r="H15" s="11">
        <v>8</v>
      </c>
      <c r="I15" s="11" t="s">
        <v>93</v>
      </c>
    </row>
    <row r="16" spans="1:9" x14ac:dyDescent="0.3">
      <c r="A16" s="11" t="s">
        <v>90</v>
      </c>
      <c r="B16" s="11" t="s">
        <v>4</v>
      </c>
      <c r="C16" s="11" t="s">
        <v>91</v>
      </c>
      <c r="D16" s="11" t="s">
        <v>107</v>
      </c>
      <c r="E16" s="11" t="s">
        <v>39</v>
      </c>
      <c r="F16" s="11" t="s">
        <v>46</v>
      </c>
      <c r="G16" s="11" t="s">
        <v>8</v>
      </c>
      <c r="H16" s="11">
        <v>8</v>
      </c>
      <c r="I16" s="11" t="s">
        <v>93</v>
      </c>
    </row>
    <row r="17" spans="1:9" x14ac:dyDescent="0.3">
      <c r="A17" s="11" t="s">
        <v>90</v>
      </c>
      <c r="B17" s="11" t="s">
        <v>4</v>
      </c>
      <c r="C17" s="11" t="s">
        <v>91</v>
      </c>
      <c r="D17" s="11" t="s">
        <v>108</v>
      </c>
      <c r="E17" s="11" t="s">
        <v>39</v>
      </c>
      <c r="F17" s="11" t="s">
        <v>47</v>
      </c>
      <c r="G17" s="11" t="s">
        <v>6</v>
      </c>
      <c r="H17" s="11">
        <v>0</v>
      </c>
      <c r="I17" s="11" t="s">
        <v>93</v>
      </c>
    </row>
    <row r="18" spans="1:9" x14ac:dyDescent="0.3">
      <c r="A18" s="11" t="s">
        <v>90</v>
      </c>
      <c r="B18" s="11" t="s">
        <v>4</v>
      </c>
      <c r="C18" s="11" t="s">
        <v>91</v>
      </c>
      <c r="D18" s="11" t="s">
        <v>109</v>
      </c>
      <c r="E18" s="11" t="s">
        <v>39</v>
      </c>
      <c r="F18" s="11" t="s">
        <v>48</v>
      </c>
      <c r="G18" s="11" t="s">
        <v>6</v>
      </c>
      <c r="H18" s="11">
        <v>0</v>
      </c>
      <c r="I18" s="11" t="s">
        <v>93</v>
      </c>
    </row>
    <row r="19" spans="1:9" x14ac:dyDescent="0.3">
      <c r="A19" s="11" t="s">
        <v>90</v>
      </c>
      <c r="B19" s="11" t="s">
        <v>4</v>
      </c>
      <c r="C19" s="11" t="s">
        <v>91</v>
      </c>
      <c r="D19" s="11" t="s">
        <v>110</v>
      </c>
      <c r="E19" s="11" t="s">
        <v>49</v>
      </c>
      <c r="F19" s="11" t="s">
        <v>50</v>
      </c>
      <c r="G19" s="11" t="s">
        <v>8</v>
      </c>
      <c r="H19" s="11">
        <v>7</v>
      </c>
      <c r="I19" s="11" t="s">
        <v>93</v>
      </c>
    </row>
    <row r="20" spans="1:9" x14ac:dyDescent="0.3">
      <c r="A20" s="11" t="s">
        <v>90</v>
      </c>
      <c r="B20" s="11" t="s">
        <v>4</v>
      </c>
      <c r="C20" s="11" t="s">
        <v>91</v>
      </c>
      <c r="D20" s="11" t="s">
        <v>111</v>
      </c>
      <c r="E20" s="11" t="s">
        <v>49</v>
      </c>
      <c r="F20" s="11" t="s">
        <v>51</v>
      </c>
      <c r="G20" s="11" t="s">
        <v>6</v>
      </c>
      <c r="H20" s="11">
        <v>0</v>
      </c>
      <c r="I20" s="11" t="s">
        <v>93</v>
      </c>
    </row>
    <row r="21" spans="1:9" x14ac:dyDescent="0.3">
      <c r="A21" s="11" t="s">
        <v>90</v>
      </c>
      <c r="B21" s="11" t="s">
        <v>4</v>
      </c>
      <c r="C21" s="11" t="s">
        <v>91</v>
      </c>
      <c r="D21" s="11" t="s">
        <v>112</v>
      </c>
      <c r="E21" s="11" t="s">
        <v>49</v>
      </c>
      <c r="F21" s="11" t="s">
        <v>52</v>
      </c>
      <c r="G21" s="11" t="s">
        <v>8</v>
      </c>
      <c r="H21" s="11">
        <v>8</v>
      </c>
      <c r="I21" s="11" t="s">
        <v>93</v>
      </c>
    </row>
    <row r="22" spans="1:9" x14ac:dyDescent="0.3">
      <c r="A22" s="11" t="s">
        <v>90</v>
      </c>
      <c r="B22" s="11" t="s">
        <v>4</v>
      </c>
      <c r="C22" s="11" t="s">
        <v>91</v>
      </c>
      <c r="D22" s="11" t="s">
        <v>113</v>
      </c>
      <c r="E22" s="11" t="s">
        <v>49</v>
      </c>
      <c r="F22" s="11" t="s">
        <v>53</v>
      </c>
      <c r="G22" s="11" t="s">
        <v>7</v>
      </c>
      <c r="H22" s="11">
        <v>7</v>
      </c>
      <c r="I22" s="11" t="s">
        <v>93</v>
      </c>
    </row>
    <row r="23" spans="1:9" x14ac:dyDescent="0.3">
      <c r="A23" s="11" t="s">
        <v>90</v>
      </c>
      <c r="B23" s="11" t="s">
        <v>4</v>
      </c>
      <c r="C23" s="11" t="s">
        <v>91</v>
      </c>
      <c r="D23" s="11" t="s">
        <v>114</v>
      </c>
      <c r="E23" s="11" t="s">
        <v>49</v>
      </c>
      <c r="F23" s="11" t="s">
        <v>54</v>
      </c>
      <c r="G23" s="11" t="s">
        <v>7</v>
      </c>
      <c r="H23" s="11">
        <v>7</v>
      </c>
      <c r="I23" s="11" t="s">
        <v>93</v>
      </c>
    </row>
    <row r="24" spans="1:9" x14ac:dyDescent="0.3">
      <c r="A24" s="11" t="s">
        <v>90</v>
      </c>
      <c r="B24" s="11" t="s">
        <v>4</v>
      </c>
      <c r="C24" s="11" t="s">
        <v>91</v>
      </c>
      <c r="D24" s="11" t="s">
        <v>115</v>
      </c>
      <c r="E24" s="11" t="s">
        <v>49</v>
      </c>
      <c r="F24" s="11" t="s">
        <v>55</v>
      </c>
      <c r="G24" s="11" t="s">
        <v>6</v>
      </c>
      <c r="H24" s="11">
        <v>0</v>
      </c>
      <c r="I24" s="11" t="s">
        <v>93</v>
      </c>
    </row>
    <row r="25" spans="1:9" x14ac:dyDescent="0.3">
      <c r="A25" s="11" t="s">
        <v>90</v>
      </c>
      <c r="B25" s="11" t="s">
        <v>4</v>
      </c>
      <c r="C25" s="11" t="s">
        <v>91</v>
      </c>
      <c r="D25" s="11" t="s">
        <v>116</v>
      </c>
      <c r="E25" s="11" t="s">
        <v>49</v>
      </c>
      <c r="F25" s="11" t="s">
        <v>56</v>
      </c>
      <c r="G25" s="11" t="s">
        <v>8</v>
      </c>
      <c r="H25" s="11">
        <v>7</v>
      </c>
      <c r="I25" s="11" t="s">
        <v>93</v>
      </c>
    </row>
    <row r="26" spans="1:9" x14ac:dyDescent="0.3">
      <c r="A26" s="11" t="s">
        <v>90</v>
      </c>
      <c r="B26" s="11" t="s">
        <v>4</v>
      </c>
      <c r="C26" s="11" t="s">
        <v>91</v>
      </c>
      <c r="D26" s="11" t="s">
        <v>117</v>
      </c>
      <c r="E26" s="11" t="s">
        <v>49</v>
      </c>
      <c r="F26" s="11" t="s">
        <v>57</v>
      </c>
      <c r="G26" s="11" t="s">
        <v>8</v>
      </c>
      <c r="H26" s="11">
        <v>9</v>
      </c>
      <c r="I26" s="11" t="s">
        <v>93</v>
      </c>
    </row>
    <row r="27" spans="1:9" x14ac:dyDescent="0.3">
      <c r="A27" s="11" t="s">
        <v>90</v>
      </c>
      <c r="B27" s="11" t="s">
        <v>4</v>
      </c>
      <c r="C27" s="11" t="s">
        <v>91</v>
      </c>
      <c r="D27" s="11" t="s">
        <v>118</v>
      </c>
      <c r="E27" s="11" t="s">
        <v>58</v>
      </c>
      <c r="F27" s="11" t="s">
        <v>59</v>
      </c>
      <c r="G27" s="11" t="s">
        <v>8</v>
      </c>
      <c r="H27" s="11">
        <v>8</v>
      </c>
      <c r="I27" s="11" t="s">
        <v>93</v>
      </c>
    </row>
    <row r="28" spans="1:9" x14ac:dyDescent="0.3">
      <c r="A28" s="11" t="s">
        <v>90</v>
      </c>
      <c r="B28" s="11" t="s">
        <v>4</v>
      </c>
      <c r="C28" s="11" t="s">
        <v>91</v>
      </c>
      <c r="D28" s="11" t="s">
        <v>119</v>
      </c>
      <c r="E28" s="11" t="s">
        <v>58</v>
      </c>
      <c r="F28" s="11" t="s">
        <v>60</v>
      </c>
      <c r="G28" s="11" t="s">
        <v>7</v>
      </c>
      <c r="H28" s="11">
        <v>3</v>
      </c>
      <c r="I28" s="11" t="s">
        <v>93</v>
      </c>
    </row>
    <row r="29" spans="1:9" x14ac:dyDescent="0.3">
      <c r="A29" s="11" t="s">
        <v>90</v>
      </c>
      <c r="B29" s="11" t="s">
        <v>4</v>
      </c>
      <c r="C29" s="11" t="s">
        <v>91</v>
      </c>
      <c r="D29" s="11" t="s">
        <v>120</v>
      </c>
      <c r="E29" s="11" t="s">
        <v>58</v>
      </c>
      <c r="F29" s="11" t="s">
        <v>61</v>
      </c>
      <c r="G29" s="11" t="s">
        <v>6</v>
      </c>
      <c r="H29" s="11">
        <v>0</v>
      </c>
      <c r="I29" s="11" t="s">
        <v>93</v>
      </c>
    </row>
    <row r="30" spans="1:9" x14ac:dyDescent="0.3">
      <c r="A30" s="11" t="s">
        <v>90</v>
      </c>
      <c r="B30" s="11" t="s">
        <v>4</v>
      </c>
      <c r="C30" s="11" t="s">
        <v>91</v>
      </c>
      <c r="D30" s="11" t="s">
        <v>121</v>
      </c>
      <c r="E30" s="11" t="s">
        <v>58</v>
      </c>
      <c r="F30" s="11" t="s">
        <v>62</v>
      </c>
      <c r="G30" s="11" t="s">
        <v>6</v>
      </c>
      <c r="H30" s="11">
        <v>0</v>
      </c>
      <c r="I30" s="11" t="s">
        <v>93</v>
      </c>
    </row>
    <row r="31" spans="1:9" x14ac:dyDescent="0.3">
      <c r="A31" s="11" t="s">
        <v>90</v>
      </c>
      <c r="B31" s="11" t="s">
        <v>4</v>
      </c>
      <c r="C31" s="11" t="s">
        <v>91</v>
      </c>
      <c r="D31" s="11" t="s">
        <v>122</v>
      </c>
      <c r="E31" s="11" t="s">
        <v>58</v>
      </c>
      <c r="F31" s="11" t="s">
        <v>63</v>
      </c>
      <c r="G31" s="11" t="s">
        <v>6</v>
      </c>
      <c r="H31" s="11">
        <v>0</v>
      </c>
      <c r="I31" s="11" t="s">
        <v>93</v>
      </c>
    </row>
    <row r="32" spans="1:9" x14ac:dyDescent="0.3">
      <c r="A32" s="11" t="s">
        <v>90</v>
      </c>
      <c r="B32" s="11" t="s">
        <v>4</v>
      </c>
      <c r="C32" s="11" t="s">
        <v>91</v>
      </c>
      <c r="D32" s="11" t="s">
        <v>123</v>
      </c>
      <c r="E32" s="11" t="s">
        <v>58</v>
      </c>
      <c r="F32" s="11" t="s">
        <v>64</v>
      </c>
      <c r="G32" s="11" t="s">
        <v>7</v>
      </c>
      <c r="H32" s="11">
        <v>7</v>
      </c>
      <c r="I32" s="11" t="s">
        <v>93</v>
      </c>
    </row>
    <row r="33" spans="1:9" x14ac:dyDescent="0.3">
      <c r="A33" s="11" t="s">
        <v>90</v>
      </c>
      <c r="B33" s="11" t="s">
        <v>4</v>
      </c>
      <c r="C33" s="11" t="s">
        <v>91</v>
      </c>
      <c r="D33" s="11" t="s">
        <v>124</v>
      </c>
      <c r="E33" s="11" t="s">
        <v>58</v>
      </c>
      <c r="F33" s="11" t="s">
        <v>65</v>
      </c>
      <c r="G33" s="11" t="s">
        <v>8</v>
      </c>
      <c r="H33" s="11">
        <v>8</v>
      </c>
      <c r="I33" s="11" t="s">
        <v>93</v>
      </c>
    </row>
    <row r="34" spans="1:9" x14ac:dyDescent="0.3">
      <c r="A34" s="11" t="s">
        <v>90</v>
      </c>
      <c r="B34" s="11" t="s">
        <v>4</v>
      </c>
      <c r="C34" s="11" t="s">
        <v>91</v>
      </c>
      <c r="D34" s="11" t="s">
        <v>125</v>
      </c>
      <c r="E34" s="11" t="s">
        <v>58</v>
      </c>
      <c r="F34" s="11" t="s">
        <v>66</v>
      </c>
      <c r="G34" s="11" t="s">
        <v>8</v>
      </c>
      <c r="H34" s="11">
        <v>8</v>
      </c>
      <c r="I34" s="11" t="s">
        <v>93</v>
      </c>
    </row>
    <row r="35" spans="1:9" x14ac:dyDescent="0.3">
      <c r="A35" s="11" t="s">
        <v>90</v>
      </c>
      <c r="B35" s="11" t="s">
        <v>4</v>
      </c>
      <c r="C35" s="11" t="s">
        <v>91</v>
      </c>
      <c r="D35" s="11" t="s">
        <v>126</v>
      </c>
      <c r="E35" s="11" t="s">
        <v>58</v>
      </c>
      <c r="F35" s="11" t="s">
        <v>67</v>
      </c>
      <c r="G35" s="11" t="s">
        <v>8</v>
      </c>
      <c r="H35" s="11">
        <v>8</v>
      </c>
      <c r="I35" s="11" t="s">
        <v>93</v>
      </c>
    </row>
    <row r="36" spans="1:9" x14ac:dyDescent="0.3">
      <c r="A36" s="11" t="s">
        <v>90</v>
      </c>
      <c r="B36" s="11" t="s">
        <v>4</v>
      </c>
      <c r="C36" s="11" t="s">
        <v>91</v>
      </c>
      <c r="D36" s="11" t="s">
        <v>127</v>
      </c>
      <c r="E36" s="11" t="s">
        <v>49</v>
      </c>
      <c r="F36" s="11" t="s">
        <v>68</v>
      </c>
      <c r="G36" s="11" t="s">
        <v>6</v>
      </c>
      <c r="H36" s="11">
        <v>0</v>
      </c>
      <c r="I36" s="11" t="s">
        <v>93</v>
      </c>
    </row>
    <row r="37" spans="1:9" x14ac:dyDescent="0.3">
      <c r="A37" s="11" t="s">
        <v>90</v>
      </c>
      <c r="B37" s="11" t="s">
        <v>5</v>
      </c>
      <c r="C37" s="11" t="s">
        <v>91</v>
      </c>
      <c r="D37" s="11" t="s">
        <v>92</v>
      </c>
      <c r="E37" s="11" t="s">
        <v>29</v>
      </c>
      <c r="F37" s="11" t="s">
        <v>30</v>
      </c>
      <c r="G37" s="11" t="s">
        <v>6</v>
      </c>
      <c r="H37" s="11">
        <v>0</v>
      </c>
      <c r="I37" s="11" t="s">
        <v>93</v>
      </c>
    </row>
    <row r="38" spans="1:9" x14ac:dyDescent="0.3">
      <c r="A38" s="11" t="s">
        <v>90</v>
      </c>
      <c r="B38" s="11" t="s">
        <v>5</v>
      </c>
      <c r="C38" s="11" t="s">
        <v>91</v>
      </c>
      <c r="D38" s="11" t="s">
        <v>94</v>
      </c>
      <c r="E38" s="11" t="s">
        <v>29</v>
      </c>
      <c r="F38" s="11" t="s">
        <v>31</v>
      </c>
      <c r="G38" s="11" t="s">
        <v>7</v>
      </c>
      <c r="H38" s="11">
        <v>5</v>
      </c>
      <c r="I38" s="11" t="s">
        <v>93</v>
      </c>
    </row>
    <row r="39" spans="1:9" x14ac:dyDescent="0.3">
      <c r="A39" s="11" t="s">
        <v>90</v>
      </c>
      <c r="B39" s="11" t="s">
        <v>5</v>
      </c>
      <c r="C39" s="11" t="s">
        <v>91</v>
      </c>
      <c r="D39" s="11" t="s">
        <v>95</v>
      </c>
      <c r="E39" s="11" t="s">
        <v>29</v>
      </c>
      <c r="F39" s="11" t="s">
        <v>32</v>
      </c>
      <c r="G39" s="11" t="s">
        <v>6</v>
      </c>
      <c r="H39" s="11">
        <v>0</v>
      </c>
      <c r="I39" s="11" t="s">
        <v>93</v>
      </c>
    </row>
    <row r="40" spans="1:9" x14ac:dyDescent="0.3">
      <c r="A40" s="11" t="s">
        <v>90</v>
      </c>
      <c r="B40" s="11" t="s">
        <v>5</v>
      </c>
      <c r="C40" s="11" t="s">
        <v>91</v>
      </c>
      <c r="D40" s="11" t="s">
        <v>96</v>
      </c>
      <c r="E40" s="11" t="s">
        <v>29</v>
      </c>
      <c r="F40" s="11" t="s">
        <v>33</v>
      </c>
      <c r="G40" s="11" t="s">
        <v>7</v>
      </c>
      <c r="H40" s="11">
        <v>7</v>
      </c>
      <c r="I40" s="11" t="s">
        <v>93</v>
      </c>
    </row>
    <row r="41" spans="1:9" x14ac:dyDescent="0.3">
      <c r="A41" s="11" t="s">
        <v>90</v>
      </c>
      <c r="B41" s="11" t="s">
        <v>5</v>
      </c>
      <c r="C41" s="11" t="s">
        <v>91</v>
      </c>
      <c r="D41" s="11" t="s">
        <v>97</v>
      </c>
      <c r="E41" s="11" t="s">
        <v>34</v>
      </c>
      <c r="F41" s="11" t="s">
        <v>35</v>
      </c>
      <c r="G41" s="11" t="s">
        <v>6</v>
      </c>
      <c r="H41" s="11">
        <v>0</v>
      </c>
      <c r="I41" s="11" t="s">
        <v>93</v>
      </c>
    </row>
    <row r="42" spans="1:9" x14ac:dyDescent="0.3">
      <c r="A42" s="11" t="s">
        <v>90</v>
      </c>
      <c r="B42" s="11" t="s">
        <v>5</v>
      </c>
      <c r="C42" s="11" t="s">
        <v>91</v>
      </c>
      <c r="D42" s="11" t="s">
        <v>98</v>
      </c>
      <c r="E42" s="11" t="s">
        <v>34</v>
      </c>
      <c r="F42" s="11" t="s">
        <v>36</v>
      </c>
      <c r="G42" s="11" t="s">
        <v>6</v>
      </c>
      <c r="H42" s="11">
        <v>0</v>
      </c>
      <c r="I42" s="11" t="s">
        <v>93</v>
      </c>
    </row>
    <row r="43" spans="1:9" x14ac:dyDescent="0.3">
      <c r="A43" s="11" t="s">
        <v>90</v>
      </c>
      <c r="B43" s="11" t="s">
        <v>5</v>
      </c>
      <c r="C43" s="11" t="s">
        <v>91</v>
      </c>
      <c r="D43" s="11" t="s">
        <v>99</v>
      </c>
      <c r="E43" s="11" t="s">
        <v>34</v>
      </c>
      <c r="F43" s="11" t="s">
        <v>37</v>
      </c>
      <c r="G43" s="11" t="s">
        <v>6</v>
      </c>
      <c r="H43" s="11">
        <v>0</v>
      </c>
      <c r="I43" s="11" t="s">
        <v>93</v>
      </c>
    </row>
    <row r="44" spans="1:9" x14ac:dyDescent="0.3">
      <c r="A44" s="11" t="s">
        <v>90</v>
      </c>
      <c r="B44" s="11" t="s">
        <v>5</v>
      </c>
      <c r="C44" s="11" t="s">
        <v>91</v>
      </c>
      <c r="D44" s="11" t="s">
        <v>100</v>
      </c>
      <c r="E44" s="11" t="s">
        <v>34</v>
      </c>
      <c r="F44" s="11" t="s">
        <v>38</v>
      </c>
      <c r="G44" s="11" t="s">
        <v>8</v>
      </c>
      <c r="H44" s="11">
        <v>8</v>
      </c>
      <c r="I44" s="11" t="s">
        <v>93</v>
      </c>
    </row>
    <row r="45" spans="1:9" x14ac:dyDescent="0.3">
      <c r="A45" s="11" t="s">
        <v>90</v>
      </c>
      <c r="B45" s="11" t="s">
        <v>5</v>
      </c>
      <c r="C45" s="11" t="s">
        <v>91</v>
      </c>
      <c r="D45" s="11" t="s">
        <v>101</v>
      </c>
      <c r="E45" s="11" t="s">
        <v>39</v>
      </c>
      <c r="F45" s="11" t="s">
        <v>40</v>
      </c>
      <c r="G45" s="11" t="s">
        <v>8</v>
      </c>
      <c r="H45" s="11">
        <v>8</v>
      </c>
      <c r="I45" s="11" t="s">
        <v>93</v>
      </c>
    </row>
    <row r="46" spans="1:9" x14ac:dyDescent="0.3">
      <c r="A46" s="11" t="s">
        <v>90</v>
      </c>
      <c r="B46" s="11" t="s">
        <v>5</v>
      </c>
      <c r="C46" s="11" t="s">
        <v>91</v>
      </c>
      <c r="D46" s="11" t="s">
        <v>102</v>
      </c>
      <c r="E46" s="11" t="s">
        <v>39</v>
      </c>
      <c r="F46" s="11" t="s">
        <v>41</v>
      </c>
      <c r="G46" s="11" t="s">
        <v>7</v>
      </c>
      <c r="H46" s="11">
        <v>5</v>
      </c>
      <c r="I46" s="11" t="s">
        <v>93</v>
      </c>
    </row>
    <row r="47" spans="1:9" x14ac:dyDescent="0.3">
      <c r="A47" s="11" t="s">
        <v>90</v>
      </c>
      <c r="B47" s="11" t="s">
        <v>5</v>
      </c>
      <c r="C47" s="11" t="s">
        <v>91</v>
      </c>
      <c r="D47" s="11" t="s">
        <v>103</v>
      </c>
      <c r="E47" s="11" t="s">
        <v>39</v>
      </c>
      <c r="F47" s="11" t="s">
        <v>42</v>
      </c>
      <c r="G47" s="11" t="s">
        <v>6</v>
      </c>
      <c r="H47" s="11">
        <v>0</v>
      </c>
      <c r="I47" s="11" t="s">
        <v>93</v>
      </c>
    </row>
    <row r="48" spans="1:9" x14ac:dyDescent="0.3">
      <c r="A48" s="11" t="s">
        <v>90</v>
      </c>
      <c r="B48" s="11" t="s">
        <v>5</v>
      </c>
      <c r="C48" s="11" t="s">
        <v>91</v>
      </c>
      <c r="D48" s="11" t="s">
        <v>104</v>
      </c>
      <c r="E48" s="11" t="s">
        <v>39</v>
      </c>
      <c r="F48" s="11" t="s">
        <v>43</v>
      </c>
      <c r="G48" s="11" t="s">
        <v>6</v>
      </c>
      <c r="H48" s="11">
        <v>0</v>
      </c>
      <c r="I48" s="11" t="s">
        <v>93</v>
      </c>
    </row>
    <row r="49" spans="1:9" x14ac:dyDescent="0.3">
      <c r="A49" s="11" t="s">
        <v>90</v>
      </c>
      <c r="B49" s="11" t="s">
        <v>5</v>
      </c>
      <c r="C49" s="11" t="s">
        <v>91</v>
      </c>
      <c r="D49" s="11" t="s">
        <v>105</v>
      </c>
      <c r="E49" s="11" t="s">
        <v>39</v>
      </c>
      <c r="F49" s="11" t="s">
        <v>44</v>
      </c>
      <c r="G49" s="11" t="s">
        <v>8</v>
      </c>
      <c r="H49" s="11">
        <v>8</v>
      </c>
      <c r="I49" s="11" t="s">
        <v>93</v>
      </c>
    </row>
    <row r="50" spans="1:9" x14ac:dyDescent="0.3">
      <c r="A50" s="11" t="s">
        <v>90</v>
      </c>
      <c r="B50" s="11" t="s">
        <v>5</v>
      </c>
      <c r="C50" s="11" t="s">
        <v>91</v>
      </c>
      <c r="D50" s="11" t="s">
        <v>106</v>
      </c>
      <c r="E50" s="11" t="s">
        <v>39</v>
      </c>
      <c r="F50" s="11" t="s">
        <v>45</v>
      </c>
      <c r="G50" s="11" t="s">
        <v>6</v>
      </c>
      <c r="H50" s="11">
        <v>0</v>
      </c>
      <c r="I50" s="11" t="s">
        <v>93</v>
      </c>
    </row>
    <row r="51" spans="1:9" x14ac:dyDescent="0.3">
      <c r="A51" s="11" t="s">
        <v>90</v>
      </c>
      <c r="B51" s="11" t="s">
        <v>5</v>
      </c>
      <c r="C51" s="11" t="s">
        <v>91</v>
      </c>
      <c r="D51" s="11" t="s">
        <v>107</v>
      </c>
      <c r="E51" s="11" t="s">
        <v>39</v>
      </c>
      <c r="F51" s="11" t="s">
        <v>46</v>
      </c>
      <c r="G51" s="11" t="s">
        <v>8</v>
      </c>
      <c r="H51" s="11">
        <v>8</v>
      </c>
      <c r="I51" s="11" t="s">
        <v>93</v>
      </c>
    </row>
    <row r="52" spans="1:9" x14ac:dyDescent="0.3">
      <c r="A52" s="11" t="s">
        <v>90</v>
      </c>
      <c r="B52" s="11" t="s">
        <v>5</v>
      </c>
      <c r="C52" s="11" t="s">
        <v>91</v>
      </c>
      <c r="D52" s="11" t="s">
        <v>108</v>
      </c>
      <c r="E52" s="11" t="s">
        <v>39</v>
      </c>
      <c r="F52" s="11" t="s">
        <v>47</v>
      </c>
      <c r="G52" s="11" t="s">
        <v>6</v>
      </c>
      <c r="H52" s="11">
        <v>0</v>
      </c>
      <c r="I52" s="11" t="s">
        <v>93</v>
      </c>
    </row>
    <row r="53" spans="1:9" x14ac:dyDescent="0.3">
      <c r="A53" s="11" t="s">
        <v>90</v>
      </c>
      <c r="B53" s="11" t="s">
        <v>5</v>
      </c>
      <c r="C53" s="11" t="s">
        <v>91</v>
      </c>
      <c r="D53" s="11" t="s">
        <v>109</v>
      </c>
      <c r="E53" s="11" t="s">
        <v>39</v>
      </c>
      <c r="F53" s="11" t="s">
        <v>48</v>
      </c>
      <c r="G53" s="11" t="s">
        <v>6</v>
      </c>
      <c r="H53" s="11">
        <v>0</v>
      </c>
      <c r="I53" s="11" t="s">
        <v>93</v>
      </c>
    </row>
    <row r="54" spans="1:9" x14ac:dyDescent="0.3">
      <c r="A54" s="11" t="s">
        <v>90</v>
      </c>
      <c r="B54" s="11" t="s">
        <v>5</v>
      </c>
      <c r="C54" s="11" t="s">
        <v>91</v>
      </c>
      <c r="D54" s="11" t="s">
        <v>110</v>
      </c>
      <c r="E54" s="11" t="s">
        <v>49</v>
      </c>
      <c r="F54" s="11" t="s">
        <v>50</v>
      </c>
      <c r="G54" s="11" t="s">
        <v>6</v>
      </c>
      <c r="H54" s="11">
        <v>0</v>
      </c>
      <c r="I54" s="11" t="s">
        <v>93</v>
      </c>
    </row>
    <row r="55" spans="1:9" x14ac:dyDescent="0.3">
      <c r="A55" s="11" t="s">
        <v>90</v>
      </c>
      <c r="B55" s="11" t="s">
        <v>5</v>
      </c>
      <c r="C55" s="11" t="s">
        <v>91</v>
      </c>
      <c r="D55" s="11" t="s">
        <v>111</v>
      </c>
      <c r="E55" s="11" t="s">
        <v>49</v>
      </c>
      <c r="F55" s="11" t="s">
        <v>51</v>
      </c>
      <c r="G55" s="11" t="s">
        <v>6</v>
      </c>
      <c r="H55" s="11">
        <v>0</v>
      </c>
      <c r="I55" s="11" t="s">
        <v>93</v>
      </c>
    </row>
    <row r="56" spans="1:9" x14ac:dyDescent="0.3">
      <c r="A56" s="11" t="s">
        <v>90</v>
      </c>
      <c r="B56" s="11" t="s">
        <v>5</v>
      </c>
      <c r="C56" s="11" t="s">
        <v>91</v>
      </c>
      <c r="D56" s="11" t="s">
        <v>112</v>
      </c>
      <c r="E56" s="11" t="s">
        <v>49</v>
      </c>
      <c r="F56" s="11" t="s">
        <v>52</v>
      </c>
      <c r="G56" s="11" t="s">
        <v>6</v>
      </c>
      <c r="H56" s="11">
        <v>0</v>
      </c>
      <c r="I56" s="11" t="s">
        <v>93</v>
      </c>
    </row>
    <row r="57" spans="1:9" x14ac:dyDescent="0.3">
      <c r="A57" s="11" t="s">
        <v>90</v>
      </c>
      <c r="B57" s="11" t="s">
        <v>5</v>
      </c>
      <c r="C57" s="11" t="s">
        <v>91</v>
      </c>
      <c r="D57" s="11" t="s">
        <v>113</v>
      </c>
      <c r="E57" s="11" t="s">
        <v>49</v>
      </c>
      <c r="F57" s="11" t="s">
        <v>53</v>
      </c>
      <c r="G57" s="11" t="s">
        <v>7</v>
      </c>
      <c r="H57" s="11">
        <v>5</v>
      </c>
      <c r="I57" s="11" t="s">
        <v>93</v>
      </c>
    </row>
    <row r="58" spans="1:9" x14ac:dyDescent="0.3">
      <c r="A58" s="11" t="s">
        <v>90</v>
      </c>
      <c r="B58" s="11" t="s">
        <v>5</v>
      </c>
      <c r="C58" s="11" t="s">
        <v>91</v>
      </c>
      <c r="D58" s="11" t="s">
        <v>114</v>
      </c>
      <c r="E58" s="11" t="s">
        <v>49</v>
      </c>
      <c r="F58" s="11" t="s">
        <v>54</v>
      </c>
      <c r="G58" s="11" t="s">
        <v>8</v>
      </c>
      <c r="H58" s="11">
        <v>7</v>
      </c>
      <c r="I58" s="11" t="s">
        <v>93</v>
      </c>
    </row>
    <row r="59" spans="1:9" x14ac:dyDescent="0.3">
      <c r="A59" s="11" t="s">
        <v>90</v>
      </c>
      <c r="B59" s="11" t="s">
        <v>5</v>
      </c>
      <c r="C59" s="11" t="s">
        <v>91</v>
      </c>
      <c r="D59" s="11" t="s">
        <v>115</v>
      </c>
      <c r="E59" s="11" t="s">
        <v>49</v>
      </c>
      <c r="F59" s="11" t="s">
        <v>55</v>
      </c>
      <c r="G59" s="11" t="s">
        <v>6</v>
      </c>
      <c r="H59" s="11">
        <v>0</v>
      </c>
      <c r="I59" s="11" t="s">
        <v>93</v>
      </c>
    </row>
    <row r="60" spans="1:9" x14ac:dyDescent="0.3">
      <c r="A60" s="11" t="s">
        <v>90</v>
      </c>
      <c r="B60" s="11" t="s">
        <v>5</v>
      </c>
      <c r="C60" s="11" t="s">
        <v>91</v>
      </c>
      <c r="D60" s="11" t="s">
        <v>116</v>
      </c>
      <c r="E60" s="11" t="s">
        <v>49</v>
      </c>
      <c r="F60" s="11" t="s">
        <v>56</v>
      </c>
      <c r="G60" s="11" t="s">
        <v>6</v>
      </c>
      <c r="H60" s="11">
        <v>0</v>
      </c>
      <c r="I60" s="11" t="s">
        <v>93</v>
      </c>
    </row>
    <row r="61" spans="1:9" x14ac:dyDescent="0.3">
      <c r="A61" s="11" t="s">
        <v>90</v>
      </c>
      <c r="B61" s="11" t="s">
        <v>5</v>
      </c>
      <c r="C61" s="11" t="s">
        <v>91</v>
      </c>
      <c r="D61" s="11" t="s">
        <v>117</v>
      </c>
      <c r="E61" s="11" t="s">
        <v>49</v>
      </c>
      <c r="F61" s="11" t="s">
        <v>57</v>
      </c>
      <c r="G61" s="11" t="s">
        <v>6</v>
      </c>
      <c r="H61" s="11">
        <v>0</v>
      </c>
      <c r="I61" s="11" t="s">
        <v>93</v>
      </c>
    </row>
    <row r="62" spans="1:9" x14ac:dyDescent="0.3">
      <c r="A62" s="11" t="s">
        <v>90</v>
      </c>
      <c r="B62" s="11" t="s">
        <v>5</v>
      </c>
      <c r="C62" s="11" t="s">
        <v>91</v>
      </c>
      <c r="D62" s="11" t="s">
        <v>118</v>
      </c>
      <c r="E62" s="11" t="s">
        <v>58</v>
      </c>
      <c r="F62" s="11" t="s">
        <v>59</v>
      </c>
      <c r="G62" s="11" t="s">
        <v>7</v>
      </c>
      <c r="H62" s="11">
        <v>7</v>
      </c>
      <c r="I62" s="11" t="s">
        <v>93</v>
      </c>
    </row>
    <row r="63" spans="1:9" x14ac:dyDescent="0.3">
      <c r="A63" s="11" t="s">
        <v>90</v>
      </c>
      <c r="B63" s="11" t="s">
        <v>5</v>
      </c>
      <c r="C63" s="11" t="s">
        <v>91</v>
      </c>
      <c r="D63" s="11" t="s">
        <v>119</v>
      </c>
      <c r="E63" s="11" t="s">
        <v>58</v>
      </c>
      <c r="F63" s="11" t="s">
        <v>60</v>
      </c>
      <c r="G63" s="11" t="s">
        <v>6</v>
      </c>
      <c r="H63" s="11">
        <v>0</v>
      </c>
      <c r="I63" s="11" t="s">
        <v>93</v>
      </c>
    </row>
    <row r="64" spans="1:9" x14ac:dyDescent="0.3">
      <c r="A64" s="11" t="s">
        <v>90</v>
      </c>
      <c r="B64" s="11" t="s">
        <v>5</v>
      </c>
      <c r="C64" s="11" t="s">
        <v>91</v>
      </c>
      <c r="D64" s="11" t="s">
        <v>120</v>
      </c>
      <c r="E64" s="11" t="s">
        <v>58</v>
      </c>
      <c r="F64" s="11" t="s">
        <v>61</v>
      </c>
      <c r="G64" s="11" t="s">
        <v>6</v>
      </c>
      <c r="H64" s="11">
        <v>0</v>
      </c>
      <c r="I64" s="11" t="s">
        <v>93</v>
      </c>
    </row>
    <row r="65" spans="1:9" x14ac:dyDescent="0.3">
      <c r="A65" s="11" t="s">
        <v>90</v>
      </c>
      <c r="B65" s="11" t="s">
        <v>5</v>
      </c>
      <c r="C65" s="11" t="s">
        <v>91</v>
      </c>
      <c r="D65" s="11" t="s">
        <v>121</v>
      </c>
      <c r="E65" s="11" t="s">
        <v>58</v>
      </c>
      <c r="F65" s="11" t="s">
        <v>62</v>
      </c>
      <c r="G65" s="11" t="s">
        <v>6</v>
      </c>
      <c r="H65" s="11">
        <v>0</v>
      </c>
      <c r="I65" s="11" t="s">
        <v>93</v>
      </c>
    </row>
    <row r="66" spans="1:9" x14ac:dyDescent="0.3">
      <c r="A66" s="11" t="s">
        <v>90</v>
      </c>
      <c r="B66" s="11" t="s">
        <v>5</v>
      </c>
      <c r="C66" s="11" t="s">
        <v>91</v>
      </c>
      <c r="D66" s="11" t="s">
        <v>122</v>
      </c>
      <c r="E66" s="11" t="s">
        <v>58</v>
      </c>
      <c r="F66" s="11" t="s">
        <v>63</v>
      </c>
      <c r="G66" s="11" t="s">
        <v>6</v>
      </c>
      <c r="H66" s="11">
        <v>0</v>
      </c>
      <c r="I66" s="11" t="s">
        <v>93</v>
      </c>
    </row>
    <row r="67" spans="1:9" x14ac:dyDescent="0.3">
      <c r="A67" s="11" t="s">
        <v>90</v>
      </c>
      <c r="B67" s="11" t="s">
        <v>5</v>
      </c>
      <c r="C67" s="11" t="s">
        <v>91</v>
      </c>
      <c r="D67" s="11" t="s">
        <v>123</v>
      </c>
      <c r="E67" s="11" t="s">
        <v>58</v>
      </c>
      <c r="F67" s="11" t="s">
        <v>64</v>
      </c>
      <c r="G67" s="11" t="s">
        <v>6</v>
      </c>
      <c r="H67" s="11">
        <v>0</v>
      </c>
      <c r="I67" s="11" t="s">
        <v>93</v>
      </c>
    </row>
    <row r="68" spans="1:9" x14ac:dyDescent="0.3">
      <c r="A68" s="11" t="s">
        <v>90</v>
      </c>
      <c r="B68" s="11" t="s">
        <v>5</v>
      </c>
      <c r="C68" s="11" t="s">
        <v>91</v>
      </c>
      <c r="D68" s="11" t="s">
        <v>124</v>
      </c>
      <c r="E68" s="11" t="s">
        <v>58</v>
      </c>
      <c r="F68" s="11" t="s">
        <v>65</v>
      </c>
      <c r="G68" s="11" t="s">
        <v>6</v>
      </c>
      <c r="H68" s="11">
        <v>0</v>
      </c>
      <c r="I68" s="11" t="s">
        <v>93</v>
      </c>
    </row>
    <row r="69" spans="1:9" x14ac:dyDescent="0.3">
      <c r="A69" s="11" t="s">
        <v>90</v>
      </c>
      <c r="B69" s="11" t="s">
        <v>5</v>
      </c>
      <c r="C69" s="11" t="s">
        <v>91</v>
      </c>
      <c r="D69" s="11" t="s">
        <v>125</v>
      </c>
      <c r="E69" s="11" t="s">
        <v>58</v>
      </c>
      <c r="F69" s="11" t="s">
        <v>66</v>
      </c>
      <c r="G69" s="11" t="s">
        <v>6</v>
      </c>
      <c r="H69" s="11">
        <v>0</v>
      </c>
      <c r="I69" s="11" t="s">
        <v>93</v>
      </c>
    </row>
    <row r="70" spans="1:9" x14ac:dyDescent="0.3">
      <c r="A70" s="11" t="s">
        <v>90</v>
      </c>
      <c r="B70" s="11" t="s">
        <v>5</v>
      </c>
      <c r="C70" s="11" t="s">
        <v>91</v>
      </c>
      <c r="D70" s="11" t="s">
        <v>126</v>
      </c>
      <c r="E70" s="11" t="s">
        <v>58</v>
      </c>
      <c r="F70" s="11" t="s">
        <v>67</v>
      </c>
      <c r="G70" s="11" t="s">
        <v>6</v>
      </c>
      <c r="H70" s="11">
        <v>0</v>
      </c>
      <c r="I70" s="11" t="s">
        <v>93</v>
      </c>
    </row>
    <row r="71" spans="1:9" x14ac:dyDescent="0.3">
      <c r="A71" s="11" t="s">
        <v>90</v>
      </c>
      <c r="B71" s="11" t="s">
        <v>5</v>
      </c>
      <c r="C71" s="11" t="s">
        <v>91</v>
      </c>
      <c r="D71" s="11" t="s">
        <v>127</v>
      </c>
      <c r="E71" s="11" t="s">
        <v>49</v>
      </c>
      <c r="F71" s="11" t="s">
        <v>68</v>
      </c>
      <c r="G71" s="11" t="s">
        <v>6</v>
      </c>
      <c r="H71" s="11">
        <v>0</v>
      </c>
      <c r="I71" s="11" t="s">
        <v>93</v>
      </c>
    </row>
    <row r="72" spans="1:9" x14ac:dyDescent="0.3">
      <c r="A72" s="11" t="s">
        <v>128</v>
      </c>
      <c r="B72" s="11" t="s">
        <v>4</v>
      </c>
      <c r="C72" s="11" t="s">
        <v>91</v>
      </c>
      <c r="D72" s="11" t="s">
        <v>129</v>
      </c>
      <c r="E72" s="11" t="s">
        <v>29</v>
      </c>
      <c r="F72" s="11" t="s">
        <v>69</v>
      </c>
      <c r="G72" s="11" t="s">
        <v>7</v>
      </c>
      <c r="H72" s="11">
        <v>6</v>
      </c>
      <c r="I72" s="11" t="s">
        <v>93</v>
      </c>
    </row>
    <row r="73" spans="1:9" x14ac:dyDescent="0.3">
      <c r="A73" s="11" t="s">
        <v>128</v>
      </c>
      <c r="B73" s="11" t="s">
        <v>4</v>
      </c>
      <c r="C73" s="11" t="s">
        <v>91</v>
      </c>
      <c r="D73" s="11" t="s">
        <v>130</v>
      </c>
      <c r="E73" s="11" t="s">
        <v>34</v>
      </c>
      <c r="F73" s="11" t="s">
        <v>70</v>
      </c>
      <c r="G73" s="11" t="s">
        <v>8</v>
      </c>
      <c r="H73" s="11">
        <v>8</v>
      </c>
      <c r="I73" s="11" t="s">
        <v>93</v>
      </c>
    </row>
    <row r="74" spans="1:9" x14ac:dyDescent="0.3">
      <c r="A74" s="11" t="s">
        <v>128</v>
      </c>
      <c r="B74" s="11" t="s">
        <v>4</v>
      </c>
      <c r="C74" s="11" t="s">
        <v>91</v>
      </c>
      <c r="D74" s="11" t="s">
        <v>131</v>
      </c>
      <c r="E74" s="11" t="s">
        <v>29</v>
      </c>
      <c r="F74" s="11" t="s">
        <v>71</v>
      </c>
      <c r="G74" s="11" t="s">
        <v>8</v>
      </c>
      <c r="H74" s="11">
        <v>8</v>
      </c>
      <c r="I74" s="11" t="s">
        <v>93</v>
      </c>
    </row>
    <row r="75" spans="1:9" x14ac:dyDescent="0.3">
      <c r="A75" s="11" t="s">
        <v>128</v>
      </c>
      <c r="B75" s="11" t="s">
        <v>4</v>
      </c>
      <c r="C75" s="11" t="s">
        <v>91</v>
      </c>
      <c r="D75" s="11" t="s">
        <v>132</v>
      </c>
      <c r="E75" s="11" t="s">
        <v>58</v>
      </c>
      <c r="F75" s="11" t="s">
        <v>72</v>
      </c>
      <c r="G75" s="11" t="s">
        <v>8</v>
      </c>
      <c r="H75" s="11">
        <v>9</v>
      </c>
      <c r="I75" s="11" t="s">
        <v>93</v>
      </c>
    </row>
    <row r="76" spans="1:9" x14ac:dyDescent="0.3">
      <c r="A76" s="11" t="s">
        <v>128</v>
      </c>
      <c r="B76" s="11" t="s">
        <v>4</v>
      </c>
      <c r="C76" s="11" t="s">
        <v>91</v>
      </c>
      <c r="D76" s="11" t="s">
        <v>133</v>
      </c>
      <c r="E76" s="11" t="s">
        <v>39</v>
      </c>
      <c r="F76" s="11" t="s">
        <v>73</v>
      </c>
      <c r="G76" s="11" t="s">
        <v>8</v>
      </c>
      <c r="H76" s="11">
        <v>8</v>
      </c>
      <c r="I76" s="11" t="s">
        <v>93</v>
      </c>
    </row>
    <row r="77" spans="1:9" x14ac:dyDescent="0.3">
      <c r="A77" s="11" t="s">
        <v>128</v>
      </c>
      <c r="B77" s="11" t="s">
        <v>4</v>
      </c>
      <c r="C77" s="11" t="s">
        <v>91</v>
      </c>
      <c r="D77" s="11" t="s">
        <v>134</v>
      </c>
      <c r="E77" s="11" t="s">
        <v>39</v>
      </c>
      <c r="F77" s="11" t="s">
        <v>74</v>
      </c>
      <c r="G77" s="11" t="s">
        <v>8</v>
      </c>
      <c r="H77" s="11">
        <v>9</v>
      </c>
      <c r="I77" s="11" t="s">
        <v>93</v>
      </c>
    </row>
    <row r="78" spans="1:9" x14ac:dyDescent="0.3">
      <c r="A78" s="11" t="s">
        <v>128</v>
      </c>
      <c r="B78" s="11" t="s">
        <v>4</v>
      </c>
      <c r="C78" s="11" t="s">
        <v>91</v>
      </c>
      <c r="D78" s="11" t="s">
        <v>135</v>
      </c>
      <c r="E78" s="11" t="s">
        <v>39</v>
      </c>
      <c r="F78" s="11" t="s">
        <v>75</v>
      </c>
      <c r="G78" s="11" t="s">
        <v>8</v>
      </c>
      <c r="H78" s="11">
        <v>8</v>
      </c>
      <c r="I78" s="11" t="s">
        <v>93</v>
      </c>
    </row>
    <row r="79" spans="1:9" x14ac:dyDescent="0.3">
      <c r="A79" s="11" t="s">
        <v>128</v>
      </c>
      <c r="B79" s="11" t="s">
        <v>4</v>
      </c>
      <c r="C79" s="11" t="s">
        <v>91</v>
      </c>
      <c r="D79" s="11" t="s">
        <v>136</v>
      </c>
      <c r="E79" s="11" t="s">
        <v>39</v>
      </c>
      <c r="F79" s="11" t="s">
        <v>76</v>
      </c>
      <c r="G79" s="11" t="s">
        <v>8</v>
      </c>
      <c r="H79" s="11">
        <v>8</v>
      </c>
      <c r="I79" s="11" t="s">
        <v>93</v>
      </c>
    </row>
    <row r="80" spans="1:9" x14ac:dyDescent="0.3">
      <c r="A80" s="11" t="s">
        <v>128</v>
      </c>
      <c r="B80" s="11" t="s">
        <v>4</v>
      </c>
      <c r="C80" s="11" t="s">
        <v>91</v>
      </c>
      <c r="D80" s="11" t="s">
        <v>137</v>
      </c>
      <c r="E80" s="11" t="s">
        <v>49</v>
      </c>
      <c r="F80" s="11" t="s">
        <v>77</v>
      </c>
      <c r="G80" s="11" t="s">
        <v>8</v>
      </c>
      <c r="H80" s="11">
        <v>8</v>
      </c>
      <c r="I80" s="11" t="s">
        <v>93</v>
      </c>
    </row>
    <row r="81" spans="1:9" x14ac:dyDescent="0.3">
      <c r="A81" s="11" t="s">
        <v>128</v>
      </c>
      <c r="B81" s="11" t="s">
        <v>4</v>
      </c>
      <c r="C81" s="11" t="s">
        <v>91</v>
      </c>
      <c r="D81" s="11" t="s">
        <v>138</v>
      </c>
      <c r="E81" s="11" t="s">
        <v>49</v>
      </c>
      <c r="F81" s="11" t="s">
        <v>78</v>
      </c>
      <c r="G81" s="11" t="s">
        <v>8</v>
      </c>
      <c r="H81" s="11">
        <v>9</v>
      </c>
      <c r="I81" s="11" t="s">
        <v>93</v>
      </c>
    </row>
    <row r="82" spans="1:9" x14ac:dyDescent="0.3">
      <c r="A82" s="11" t="s">
        <v>128</v>
      </c>
      <c r="B82" s="11" t="s">
        <v>4</v>
      </c>
      <c r="C82" s="11" t="s">
        <v>91</v>
      </c>
      <c r="D82" s="11" t="s">
        <v>139</v>
      </c>
      <c r="E82" s="11" t="s">
        <v>49</v>
      </c>
      <c r="F82" s="11" t="s">
        <v>79</v>
      </c>
      <c r="G82" s="11" t="s">
        <v>8</v>
      </c>
      <c r="H82" s="11">
        <v>8</v>
      </c>
      <c r="I82" s="11" t="s">
        <v>93</v>
      </c>
    </row>
    <row r="83" spans="1:9" x14ac:dyDescent="0.3">
      <c r="A83" s="11" t="s">
        <v>128</v>
      </c>
      <c r="B83" s="11" t="s">
        <v>4</v>
      </c>
      <c r="C83" s="11" t="s">
        <v>91</v>
      </c>
      <c r="D83" s="11" t="s">
        <v>140</v>
      </c>
      <c r="E83" s="11" t="s">
        <v>49</v>
      </c>
      <c r="F83" s="11" t="s">
        <v>80</v>
      </c>
      <c r="G83" s="11" t="s">
        <v>8</v>
      </c>
      <c r="H83" s="11">
        <v>7</v>
      </c>
      <c r="I83" s="11" t="s">
        <v>93</v>
      </c>
    </row>
    <row r="84" spans="1:9" x14ac:dyDescent="0.3">
      <c r="A84" s="11" t="s">
        <v>128</v>
      </c>
      <c r="B84" s="11" t="s">
        <v>4</v>
      </c>
      <c r="C84" s="11" t="s">
        <v>91</v>
      </c>
      <c r="D84" s="11" t="s">
        <v>141</v>
      </c>
      <c r="E84" s="11" t="s">
        <v>58</v>
      </c>
      <c r="F84" s="11" t="s">
        <v>81</v>
      </c>
      <c r="G84" s="11" t="s">
        <v>8</v>
      </c>
      <c r="H84" s="11">
        <v>8</v>
      </c>
      <c r="I84" s="11" t="s">
        <v>93</v>
      </c>
    </row>
    <row r="85" spans="1:9" x14ac:dyDescent="0.3">
      <c r="A85" s="11" t="s">
        <v>128</v>
      </c>
      <c r="B85" s="11" t="s">
        <v>4</v>
      </c>
      <c r="C85" s="11" t="s">
        <v>91</v>
      </c>
      <c r="D85" s="11" t="s">
        <v>142</v>
      </c>
      <c r="E85" s="11" t="s">
        <v>58</v>
      </c>
      <c r="F85" s="11" t="s">
        <v>82</v>
      </c>
      <c r="G85" s="11" t="s">
        <v>8</v>
      </c>
      <c r="H85" s="11">
        <v>8</v>
      </c>
      <c r="I85" s="11" t="s">
        <v>93</v>
      </c>
    </row>
    <row r="86" spans="1:9" x14ac:dyDescent="0.3">
      <c r="A86" s="11" t="s">
        <v>128</v>
      </c>
      <c r="B86" s="11" t="s">
        <v>4</v>
      </c>
      <c r="C86" s="11" t="s">
        <v>91</v>
      </c>
      <c r="D86" s="11" t="s">
        <v>143</v>
      </c>
      <c r="E86" s="11" t="s">
        <v>49</v>
      </c>
      <c r="F86" s="11" t="s">
        <v>83</v>
      </c>
      <c r="G86" s="11" t="s">
        <v>8</v>
      </c>
      <c r="H86" s="11">
        <v>9</v>
      </c>
      <c r="I86" s="11" t="s">
        <v>93</v>
      </c>
    </row>
    <row r="87" spans="1:9" x14ac:dyDescent="0.3">
      <c r="A87" s="11" t="s">
        <v>128</v>
      </c>
      <c r="B87" s="11" t="s">
        <v>5</v>
      </c>
      <c r="C87" s="11" t="s">
        <v>91</v>
      </c>
      <c r="D87" s="11" t="s">
        <v>129</v>
      </c>
      <c r="E87" s="11" t="s">
        <v>29</v>
      </c>
      <c r="F87" s="11" t="s">
        <v>69</v>
      </c>
      <c r="G87" s="11" t="s">
        <v>8</v>
      </c>
      <c r="H87" s="11">
        <v>8</v>
      </c>
      <c r="I87" s="11" t="s">
        <v>93</v>
      </c>
    </row>
    <row r="88" spans="1:9" x14ac:dyDescent="0.3">
      <c r="A88" s="11" t="s">
        <v>128</v>
      </c>
      <c r="B88" s="11" t="s">
        <v>5</v>
      </c>
      <c r="C88" s="11" t="s">
        <v>91</v>
      </c>
      <c r="D88" s="11" t="s">
        <v>130</v>
      </c>
      <c r="E88" s="11" t="s">
        <v>34</v>
      </c>
      <c r="F88" s="11" t="s">
        <v>70</v>
      </c>
      <c r="G88" s="11" t="s">
        <v>8</v>
      </c>
      <c r="H88" s="11">
        <v>8</v>
      </c>
      <c r="I88" s="11" t="s">
        <v>93</v>
      </c>
    </row>
    <row r="89" spans="1:9" x14ac:dyDescent="0.3">
      <c r="A89" s="11" t="s">
        <v>128</v>
      </c>
      <c r="B89" s="11" t="s">
        <v>5</v>
      </c>
      <c r="C89" s="11" t="s">
        <v>91</v>
      </c>
      <c r="D89" s="11" t="s">
        <v>131</v>
      </c>
      <c r="E89" s="11" t="s">
        <v>29</v>
      </c>
      <c r="F89" s="11" t="s">
        <v>71</v>
      </c>
      <c r="G89" s="11" t="s">
        <v>8</v>
      </c>
      <c r="H89" s="11">
        <v>8</v>
      </c>
      <c r="I89" s="11" t="s">
        <v>93</v>
      </c>
    </row>
    <row r="90" spans="1:9" x14ac:dyDescent="0.3">
      <c r="A90" s="11" t="s">
        <v>128</v>
      </c>
      <c r="B90" s="11" t="s">
        <v>5</v>
      </c>
      <c r="C90" s="11" t="s">
        <v>91</v>
      </c>
      <c r="D90" s="11" t="s">
        <v>132</v>
      </c>
      <c r="E90" s="11" t="s">
        <v>58</v>
      </c>
      <c r="F90" s="11" t="s">
        <v>72</v>
      </c>
      <c r="G90" s="11" t="s">
        <v>8</v>
      </c>
      <c r="H90" s="11">
        <v>8</v>
      </c>
      <c r="I90" s="11" t="s">
        <v>93</v>
      </c>
    </row>
    <row r="91" spans="1:9" x14ac:dyDescent="0.3">
      <c r="A91" s="11" t="s">
        <v>128</v>
      </c>
      <c r="B91" s="11" t="s">
        <v>5</v>
      </c>
      <c r="C91" s="11" t="s">
        <v>91</v>
      </c>
      <c r="D91" s="11" t="s">
        <v>133</v>
      </c>
      <c r="E91" s="11" t="s">
        <v>39</v>
      </c>
      <c r="F91" s="11" t="s">
        <v>73</v>
      </c>
      <c r="G91" s="11" t="s">
        <v>8</v>
      </c>
      <c r="H91" s="11">
        <v>8</v>
      </c>
      <c r="I91" s="11" t="s">
        <v>93</v>
      </c>
    </row>
    <row r="92" spans="1:9" x14ac:dyDescent="0.3">
      <c r="A92" s="11" t="s">
        <v>128</v>
      </c>
      <c r="B92" s="11" t="s">
        <v>5</v>
      </c>
      <c r="C92" s="11" t="s">
        <v>91</v>
      </c>
      <c r="D92" s="11" t="s">
        <v>134</v>
      </c>
      <c r="E92" s="11" t="s">
        <v>39</v>
      </c>
      <c r="F92" s="11" t="s">
        <v>74</v>
      </c>
      <c r="G92" s="11" t="s">
        <v>8</v>
      </c>
      <c r="H92" s="11">
        <v>9</v>
      </c>
      <c r="I92" s="11" t="s">
        <v>93</v>
      </c>
    </row>
    <row r="93" spans="1:9" x14ac:dyDescent="0.3">
      <c r="A93" s="11" t="s">
        <v>128</v>
      </c>
      <c r="B93" s="11" t="s">
        <v>5</v>
      </c>
      <c r="C93" s="11" t="s">
        <v>91</v>
      </c>
      <c r="D93" s="11" t="s">
        <v>135</v>
      </c>
      <c r="E93" s="11" t="s">
        <v>39</v>
      </c>
      <c r="F93" s="11" t="s">
        <v>75</v>
      </c>
      <c r="G93" s="11" t="s">
        <v>8</v>
      </c>
      <c r="H93" s="11">
        <v>8</v>
      </c>
      <c r="I93" s="11" t="s">
        <v>93</v>
      </c>
    </row>
    <row r="94" spans="1:9" x14ac:dyDescent="0.3">
      <c r="A94" s="11" t="s">
        <v>128</v>
      </c>
      <c r="B94" s="11" t="s">
        <v>5</v>
      </c>
      <c r="C94" s="11" t="s">
        <v>91</v>
      </c>
      <c r="D94" s="11" t="s">
        <v>136</v>
      </c>
      <c r="E94" s="11" t="s">
        <v>39</v>
      </c>
      <c r="F94" s="11" t="s">
        <v>76</v>
      </c>
      <c r="G94" s="11" t="s">
        <v>8</v>
      </c>
      <c r="H94" s="11">
        <v>8</v>
      </c>
      <c r="I94" s="11" t="s">
        <v>93</v>
      </c>
    </row>
    <row r="95" spans="1:9" x14ac:dyDescent="0.3">
      <c r="A95" s="11" t="s">
        <v>128</v>
      </c>
      <c r="B95" s="11" t="s">
        <v>5</v>
      </c>
      <c r="C95" s="11" t="s">
        <v>91</v>
      </c>
      <c r="D95" s="11" t="s">
        <v>137</v>
      </c>
      <c r="E95" s="11" t="s">
        <v>49</v>
      </c>
      <c r="F95" s="11" t="s">
        <v>77</v>
      </c>
      <c r="G95" s="11" t="s">
        <v>8</v>
      </c>
      <c r="H95" s="11">
        <v>8</v>
      </c>
      <c r="I95" s="11" t="s">
        <v>93</v>
      </c>
    </row>
    <row r="96" spans="1:9" x14ac:dyDescent="0.3">
      <c r="A96" s="11" t="s">
        <v>128</v>
      </c>
      <c r="B96" s="11" t="s">
        <v>5</v>
      </c>
      <c r="C96" s="11" t="s">
        <v>91</v>
      </c>
      <c r="D96" s="11" t="s">
        <v>138</v>
      </c>
      <c r="E96" s="11" t="s">
        <v>49</v>
      </c>
      <c r="F96" s="11" t="s">
        <v>78</v>
      </c>
      <c r="G96" s="11" t="s">
        <v>8</v>
      </c>
      <c r="H96" s="11">
        <v>9</v>
      </c>
      <c r="I96" s="11" t="s">
        <v>93</v>
      </c>
    </row>
    <row r="97" spans="1:9" x14ac:dyDescent="0.3">
      <c r="A97" s="11" t="s">
        <v>128</v>
      </c>
      <c r="B97" s="11" t="s">
        <v>5</v>
      </c>
      <c r="C97" s="11" t="s">
        <v>91</v>
      </c>
      <c r="D97" s="11" t="s">
        <v>139</v>
      </c>
      <c r="E97" s="11" t="s">
        <v>49</v>
      </c>
      <c r="F97" s="11" t="s">
        <v>79</v>
      </c>
      <c r="G97" s="11" t="s">
        <v>8</v>
      </c>
      <c r="H97" s="11">
        <v>8</v>
      </c>
      <c r="I97" s="11" t="s">
        <v>93</v>
      </c>
    </row>
    <row r="98" spans="1:9" x14ac:dyDescent="0.3">
      <c r="A98" s="11" t="s">
        <v>128</v>
      </c>
      <c r="B98" s="11" t="s">
        <v>5</v>
      </c>
      <c r="C98" s="11" t="s">
        <v>91</v>
      </c>
      <c r="D98" s="11" t="s">
        <v>140</v>
      </c>
      <c r="E98" s="11" t="s">
        <v>49</v>
      </c>
      <c r="F98" s="11" t="s">
        <v>80</v>
      </c>
      <c r="G98" s="11" t="s">
        <v>7</v>
      </c>
      <c r="H98" s="11">
        <v>6</v>
      </c>
      <c r="I98" s="11" t="s">
        <v>93</v>
      </c>
    </row>
    <row r="99" spans="1:9" x14ac:dyDescent="0.3">
      <c r="A99" s="11" t="s">
        <v>128</v>
      </c>
      <c r="B99" s="11" t="s">
        <v>5</v>
      </c>
      <c r="C99" s="11" t="s">
        <v>91</v>
      </c>
      <c r="D99" s="11" t="s">
        <v>141</v>
      </c>
      <c r="E99" s="11" t="s">
        <v>58</v>
      </c>
      <c r="F99" s="11" t="s">
        <v>81</v>
      </c>
      <c r="G99" s="11" t="s">
        <v>8</v>
      </c>
      <c r="H99" s="11">
        <v>8</v>
      </c>
      <c r="I99" s="11" t="s">
        <v>93</v>
      </c>
    </row>
    <row r="100" spans="1:9" x14ac:dyDescent="0.3">
      <c r="A100" s="11" t="s">
        <v>128</v>
      </c>
      <c r="B100" s="11" t="s">
        <v>5</v>
      </c>
      <c r="C100" s="11" t="s">
        <v>91</v>
      </c>
      <c r="D100" s="11" t="s">
        <v>142</v>
      </c>
      <c r="E100" s="11" t="s">
        <v>58</v>
      </c>
      <c r="F100" s="11" t="s">
        <v>82</v>
      </c>
      <c r="G100" s="11" t="s">
        <v>8</v>
      </c>
      <c r="H100" s="11">
        <v>8</v>
      </c>
      <c r="I100" s="11" t="s">
        <v>93</v>
      </c>
    </row>
    <row r="101" spans="1:9" x14ac:dyDescent="0.3">
      <c r="A101" s="11" t="s">
        <v>128</v>
      </c>
      <c r="B101" s="11" t="s">
        <v>5</v>
      </c>
      <c r="C101" s="11" t="s">
        <v>91</v>
      </c>
      <c r="D101" s="11" t="s">
        <v>143</v>
      </c>
      <c r="E101" s="11" t="s">
        <v>49</v>
      </c>
      <c r="F101" s="11" t="s">
        <v>83</v>
      </c>
      <c r="G101" s="11" t="s">
        <v>8</v>
      </c>
      <c r="H101" s="11">
        <v>9</v>
      </c>
      <c r="I101" s="11" t="s">
        <v>93</v>
      </c>
    </row>
  </sheetData>
  <autoFilter ref="A1:I101" xr:uid="{00000000-0009-0000-0000-000003000000}"/>
  <conditionalFormatting sqref="G2:G101">
    <cfRule type="cellIs" dxfId="2" priority="2" operator="equal">
      <formula>"benign"</formula>
    </cfRule>
    <cfRule type="cellIs" dxfId="1" priority="3" operator="equal">
      <formula>"suspicious"</formula>
    </cfRule>
    <cfRule type="cellIs" dxfId="0" priority="4" operator="equal">
      <formula>"malicious"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Benign</vt:lpstr>
      <vt:lpstr>Malicious</vt:lpstr>
      <vt:lpstr>Raw_Data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Dan Marius Simina</cp:lastModifiedBy>
  <cp:revision>0</cp:revision>
  <dcterms:created xsi:type="dcterms:W3CDTF">2026-09-20T19:54:39Z</dcterms:created>
  <dcterms:modified xsi:type="dcterms:W3CDTF">2026-09-21T18:11:23Z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b58b62f-6f94-46bd-8089-18e64b0a9abb_Enabled">
    <vt:lpwstr>true</vt:lpwstr>
  </property>
  <property fmtid="{D5CDD505-2E9C-101B-9397-08002B2CF9AE}" pid="3" name="MSIP_Label_5b58b62f-6f94-46bd-8089-18e64b0a9abb_SetDate">
    <vt:lpwstr>2026-09-21T17:30:42Z</vt:lpwstr>
  </property>
  <property fmtid="{D5CDD505-2E9C-101B-9397-08002B2CF9AE}" pid="4" name="MSIP_Label_5b58b62f-6f94-46bd-8089-18e64b0a9abb_Method">
    <vt:lpwstr>Standard</vt:lpwstr>
  </property>
  <property fmtid="{D5CDD505-2E9C-101B-9397-08002B2CF9AE}" pid="5" name="MSIP_Label_5b58b62f-6f94-46bd-8089-18e64b0a9abb_Name">
    <vt:lpwstr>defa4170-0d19-0005-0004-bc88714345d2</vt:lpwstr>
  </property>
  <property fmtid="{D5CDD505-2E9C-101B-9397-08002B2CF9AE}" pid="6" name="MSIP_Label_5b58b62f-6f94-46bd-8089-18e64b0a9abb_SiteId">
    <vt:lpwstr>a6eb79fa-c4a9-4cce-818d-b85274d15305</vt:lpwstr>
  </property>
  <property fmtid="{D5CDD505-2E9C-101B-9397-08002B2CF9AE}" pid="7" name="MSIP_Label_5b58b62f-6f94-46bd-8089-18e64b0a9abb_ActionId">
    <vt:lpwstr>d01e34ad-b47c-4993-8dec-3fd5666278be</vt:lpwstr>
  </property>
  <property fmtid="{D5CDD505-2E9C-101B-9397-08002B2CF9AE}" pid="8" name="MSIP_Label_5b58b62f-6f94-46bd-8089-18e64b0a9abb_ContentBits">
    <vt:lpwstr>0</vt:lpwstr>
  </property>
  <property fmtid="{D5CDD505-2E9C-101B-9397-08002B2CF9AE}" pid="9" name="MSIP_Label_5b58b62f-6f94-46bd-8089-18e64b0a9abb_Tag">
    <vt:lpwstr>10, 3, 0, 1</vt:lpwstr>
  </property>
</Properties>
</file>