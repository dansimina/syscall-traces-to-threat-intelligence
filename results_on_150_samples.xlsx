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cuments\Work\syscall-traces-to-threat-intelligence\"/>
    </mc:Choice>
  </mc:AlternateContent>
  <xr:revisionPtr revIDLastSave="0" documentId="13_ncr:1_{922E5675-7267-4358-8E23-F75E4B77DFF4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Tests" sheetId="1" r:id="rId1"/>
    <sheet name="Metrics" sheetId="2" r:id="rId2"/>
    <sheet name="Others" sheetId="3" r:id="rId3"/>
  </sheets>
  <definedNames>
    <definedName name="_xlnm.Print_Titles" localSheetId="0">Tests!$1:$1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6" i="2" l="1"/>
  <c r="C5" i="2"/>
  <c r="C4" i="2"/>
  <c r="C3" i="2"/>
  <c r="B6" i="2"/>
  <c r="B5" i="2"/>
  <c r="B4" i="2"/>
  <c r="B3" i="2"/>
  <c r="F26" i="3"/>
  <c r="D26" i="3"/>
  <c r="B26" i="3"/>
  <c r="F25" i="3"/>
  <c r="D25" i="3"/>
  <c r="B25" i="3"/>
  <c r="F24" i="3"/>
  <c r="D24" i="3"/>
  <c r="B24" i="3"/>
  <c r="B27" i="3" s="1"/>
  <c r="F18" i="3"/>
  <c r="D18" i="3"/>
  <c r="B18" i="3"/>
  <c r="B16" i="3" s="1"/>
  <c r="F17" i="3"/>
  <c r="D17" i="3"/>
  <c r="B17" i="3"/>
  <c r="F15" i="3"/>
  <c r="D15" i="3"/>
  <c r="B15" i="3"/>
  <c r="F14" i="3"/>
  <c r="G14" i="3" s="1"/>
  <c r="D14" i="3"/>
  <c r="E17" i="3" s="1"/>
  <c r="B14" i="3"/>
  <c r="F8" i="3"/>
  <c r="D8" i="3"/>
  <c r="B8" i="3"/>
  <c r="F7" i="3"/>
  <c r="F6" i="3" s="1"/>
  <c r="D7" i="3"/>
  <c r="D6" i="3" s="1"/>
  <c r="B7" i="3"/>
  <c r="F5" i="3"/>
  <c r="D5" i="3"/>
  <c r="B5" i="3"/>
  <c r="F4" i="3"/>
  <c r="D4" i="3"/>
  <c r="E4" i="3" s="1"/>
  <c r="B4" i="3"/>
  <c r="C20" i="2"/>
  <c r="B20" i="2"/>
  <c r="C19" i="2"/>
  <c r="B19" i="2"/>
  <c r="C18" i="2"/>
  <c r="B18" i="2"/>
  <c r="C17" i="2"/>
  <c r="B17" i="2"/>
  <c r="C13" i="2"/>
  <c r="B13" i="2"/>
  <c r="C12" i="2"/>
  <c r="B12" i="2"/>
  <c r="C11" i="2"/>
  <c r="B11" i="2"/>
  <c r="C10" i="2"/>
  <c r="B10" i="2"/>
  <c r="D16" i="3" l="1"/>
  <c r="E16" i="3" s="1"/>
  <c r="F16" i="3"/>
  <c r="G16" i="3" s="1"/>
  <c r="B6" i="3"/>
  <c r="D27" i="3"/>
  <c r="E24" i="3" s="1"/>
  <c r="F27" i="3"/>
  <c r="G27" i="3" s="1"/>
  <c r="C17" i="3"/>
  <c r="C7" i="3"/>
  <c r="G6" i="3"/>
  <c r="C25" i="3"/>
  <c r="C27" i="3"/>
  <c r="C24" i="3"/>
  <c r="C26" i="3"/>
  <c r="G4" i="3"/>
  <c r="E7" i="3"/>
  <c r="C15" i="3"/>
  <c r="G17" i="3"/>
  <c r="C5" i="3"/>
  <c r="G7" i="3"/>
  <c r="E15" i="3"/>
  <c r="C18" i="3"/>
  <c r="E5" i="3"/>
  <c r="C8" i="3"/>
  <c r="G15" i="3"/>
  <c r="E18" i="3"/>
  <c r="G5" i="3"/>
  <c r="E8" i="3"/>
  <c r="C16" i="3"/>
  <c r="G18" i="3"/>
  <c r="C6" i="3"/>
  <c r="G8" i="3"/>
  <c r="E6" i="3"/>
  <c r="C14" i="3"/>
  <c r="C4" i="3"/>
  <c r="E14" i="3"/>
  <c r="G25" i="3" l="1"/>
  <c r="G24" i="3"/>
  <c r="G26" i="3"/>
  <c r="E27" i="3"/>
  <c r="E25" i="3"/>
  <c r="E26" i="3"/>
</calcChain>
</file>

<file path=xl/sharedStrings.xml><?xml version="1.0" encoding="utf-8"?>
<sst xmlns="http://schemas.openxmlformats.org/spreadsheetml/2006/main" count="1133" uniqueCount="437">
  <si>
    <t>ID</t>
  </si>
  <si>
    <t>NAME</t>
  </si>
  <si>
    <t>SHA256 / RUN ID</t>
  </si>
  <si>
    <t>TYPE</t>
  </si>
  <si>
    <t>PIPELINE RESULT Gemini</t>
  </si>
  <si>
    <t>PIPELINE RESULT Mistral</t>
  </si>
  <si>
    <t>PIPELINE RESULT Deepseek</t>
  </si>
  <si>
    <t>M00</t>
  </si>
  <si>
    <t>Educational</t>
  </si>
  <si>
    <t>downloader_a7ad3b03_1780520004</t>
  </si>
  <si>
    <t>MALICIOUS</t>
  </si>
  <si>
    <t>B00</t>
  </si>
  <si>
    <t>find /etc -name '*.conf' 2&gt;/dev/nul</t>
  </si>
  <si>
    <t>cmd_d6bsy7c9_19a22ebc_1779022735</t>
  </si>
  <si>
    <t>BENIGN</t>
  </si>
  <si>
    <t>M01</t>
  </si>
  <si>
    <t>Miner</t>
  </si>
  <si>
    <t>a01e58ce02a7b7fe9e5368878d30ce576d958069b30e952ff68686e2264b3292</t>
  </si>
  <si>
    <t>M02</t>
  </si>
  <si>
    <t>wacatac</t>
  </si>
  <si>
    <t>ebc6980212c3ce0e09cd4c28dbb651144b6da19918276e713dfab9cd2e9878b3</t>
  </si>
  <si>
    <t>M03</t>
  </si>
  <si>
    <t>malgent</t>
  </si>
  <si>
    <t>842cd7d0da1546e31b75acb81b84e61e1a5f29b8f8f3f571104a5820fce7cddb</t>
  </si>
  <si>
    <t>M04</t>
  </si>
  <si>
    <t>bash</t>
  </si>
  <si>
    <t>cf2e415e08962a3723b159e40653f9e85c34d2b29376dddbc280aaaafc5b8118</t>
  </si>
  <si>
    <t>M05</t>
  </si>
  <si>
    <t>f53f6e6f97618450ca915cfb6b67544d73248291d998ca951acd684a1f38e2b1</t>
  </si>
  <si>
    <t>M06</t>
  </si>
  <si>
    <t>Mirai</t>
  </si>
  <si>
    <t>890f9f63dfa80674ded1caae9f88f9b6f0eb98c8ba8bebdf028898294c8f252a</t>
  </si>
  <si>
    <t>M07</t>
  </si>
  <si>
    <t>6e972dfd7408b7146a3c9a14357c8d08f4a18947100d93b87bd8ddfe30a635ce</t>
  </si>
  <si>
    <t>M08</t>
  </si>
  <si>
    <t>54572746f6e54cd006b50c29fd205d88c48a45533398ab6769695298424e08d1</t>
  </si>
  <si>
    <t>M09</t>
  </si>
  <si>
    <t>9245867ee34dabb016a7c68c9291ba8266e317d75e781d6ca5e7a6b32804d448</t>
  </si>
  <si>
    <t>B01</t>
  </si>
  <si>
    <t>grep -r "root" /etc/ 2&gt;/dev/null | head -n 20</t>
  </si>
  <si>
    <t>cmd_a630uj8u_cebf928a_1779131798</t>
  </si>
  <si>
    <t>B02</t>
  </si>
  <si>
    <t>curl -s https://raw.githubusercontent.com/torvalds/linux/master/COPYING &gt; /tmp/license.txt &amp;&amp; cat /tmp/license.txt | grep "GPL"</t>
  </si>
  <si>
    <t>cmd_x7mfgxj4_cb4d6097_1779132035</t>
  </si>
  <si>
    <t>B03</t>
  </si>
  <si>
    <t>cat /etc/passwd | cut -d: -f1,7 | grep bash &gt; /tmp/.user_discovery.log &amp;&amp; ps aux | wc -l &gt;&gt; /tmp/.user_discovery.log</t>
  </si>
  <si>
    <t>cmd_9e1fg4g3_34852d3d_1779132380</t>
  </si>
  <si>
    <t>B04</t>
  </si>
  <si>
    <t>echo 'int main(){return 0;}' &gt; /tmp/test.c &amp;&amp; gcc /tmp/test.c -o /tmp/test_bin &amp;&amp; /tmp/test_bin; rm -f /tmp/test.c /tmp/test_bin</t>
  </si>
  <si>
    <t>cmd_kq2x31gw_5e134188_1779132663</t>
  </si>
  <si>
    <t>B05</t>
  </si>
  <si>
    <t>mkdir -p /tmp/dummy_data &amp;&amp; for i in {1..100}; do echo "test data" &gt; /tmp/dummy_data/file_$i.txt; done &amp;&amp; rm -rf /tmp/dummy_data</t>
  </si>
  <si>
    <t>cmd_d9i2sk1w_0100e86c_1779133019</t>
  </si>
  <si>
    <t>B06</t>
  </si>
  <si>
    <t>nc -zv 8.8.8.8 53 2&gt;/tmp/net_check.log || ping -c 3 1.1.1.1 &gt;&gt; /tmp/net_check.log</t>
  </si>
  <si>
    <t>cmd_3eufdv07_b5eab360_1779133291</t>
  </si>
  <si>
    <t>SUSPICIOUS</t>
  </si>
  <si>
    <t>B07</t>
  </si>
  <si>
    <t>echo "uptime &amp;&amp; whoami" | base64 &gt; /tmp/.payload.b64 &amp;&amp; cat /tmp/.payload.b64 | base64 -d | sh &amp;&amp; rm -f /tmp/.payload.b64</t>
  </si>
  <si>
    <t>cmd_d9nwhs8c_8fa059e8_1779133669</t>
  </si>
  <si>
    <t>B08</t>
  </si>
  <si>
    <t>curl -s https://api.ipify.org -o /tmp/.ext_ip 2&gt;/dev/null &amp;&amp; crontab -l &gt; /tmp/.cron_bkp 2&gt;/dev/null || echo "No cron entries"</t>
  </si>
  <si>
    <t>cmd_j2n6mb6g_00ebf971_1779134062</t>
  </si>
  <si>
    <t>B09</t>
  </si>
  <si>
    <t>cp /bin/ls /tmp/sys_update &amp;&amp; chmod +x /tmp/sys_update &amp;&amp; /tmp/sys_update /etc &gt;/dev/null; rm -f /tmp/sys_update</t>
  </si>
  <si>
    <t>cmd_qq8j2pra_ed8747ac_1779134395</t>
  </si>
  <si>
    <t>M10</t>
  </si>
  <si>
    <t>2250f3ef0499e14c3ff16da2a0fdab67490ce64dcaaacf44761cd849f58ea015</t>
  </si>
  <si>
    <t>M11</t>
  </si>
  <si>
    <t>938817622b9b928c808c7b65de71890a475aa2540bc64c3ad1c93a6300e1505d</t>
  </si>
  <si>
    <t>M12</t>
  </si>
  <si>
    <t>db35ab5a5e12afdfbf855cb2caa2f39775a9f015cd624e2c7f26ff5a163b45d3</t>
  </si>
  <si>
    <t>M13</t>
  </si>
  <si>
    <t>CoinMiner</t>
  </si>
  <si>
    <t>7fd8cda9c84e7e3836e2bd9391777677ee7aa33df1c14f5164f79621f9c4438e</t>
  </si>
  <si>
    <t>M14</t>
  </si>
  <si>
    <t>cd4aa230c7750f57d17620b868607f7228b4cda756d63c9fa86fe2c84fc11b45</t>
  </si>
  <si>
    <t>B10</t>
  </si>
  <si>
    <t>LibreOffice Writer</t>
  </si>
  <si>
    <t>cmd_0xdimzi5_066e98f2_1780355579</t>
  </si>
  <si>
    <t>B11</t>
  </si>
  <si>
    <t>Firefox</t>
  </si>
  <si>
    <t>cmd_5dgdmefe_15138204_1780358170</t>
  </si>
  <si>
    <t>B12</t>
  </si>
  <si>
    <t>VLC</t>
  </si>
  <si>
    <t>cmd_iaj9ztyd_19d03353_1780356277</t>
  </si>
  <si>
    <t>B13</t>
  </si>
  <si>
    <t>Gnumeric</t>
  </si>
  <si>
    <t>cmd_r9ahst8o_0be1d4c1_1780359896</t>
  </si>
  <si>
    <t>B14</t>
  </si>
  <si>
    <t>LibreOffice Draw</t>
  </si>
  <si>
    <t>cmd_rp6i5rvl_9e934f4b_1780360815</t>
  </si>
  <si>
    <t>M15</t>
  </si>
  <si>
    <t>Botnet</t>
  </si>
  <si>
    <t>1f1bc4c569055f64d0058423daf292c67b5d106be577fe17ccb2d1b778b267b3</t>
  </si>
  <si>
    <t>M16</t>
  </si>
  <si>
    <t>f77e3aa9821369459cc48ccd1ee56af9b20637bca393fbefdf059fd377732891</t>
  </si>
  <si>
    <t>M17</t>
  </si>
  <si>
    <t>79dfad940aa718395f04c71d5eb99fe87f2072ca1ce4d534c0e1847631f1375e</t>
  </si>
  <si>
    <t>M18</t>
  </si>
  <si>
    <t>8c60319a68d01488933ca85e893fe73ecb20d79c29c4478dd6a8dbc2a84d92aa</t>
  </si>
  <si>
    <t>M19</t>
  </si>
  <si>
    <t>BackDoor</t>
  </si>
  <si>
    <t>5f9d0b9e9e106f6d388fa6414e6021bf1d5afcd0e3095266c79eb417157ff6c2</t>
  </si>
  <si>
    <t>M20</t>
  </si>
  <si>
    <t>0e3204f772b39614346d2e79ce32523ee9c77404519da2182ca7fa8c3b8d1573</t>
  </si>
  <si>
    <t>M21</t>
  </si>
  <si>
    <t>DDoSAgent</t>
  </si>
  <si>
    <t>82d0ce260b0972f28db08a2e617eaa9b29f14494b431e00af7e9b0c53d8b2be0</t>
  </si>
  <si>
    <t>M22</t>
  </si>
  <si>
    <t>Prometei</t>
  </si>
  <si>
    <t>6a80d5e887b7f53637868299f450326843b4a93ab58cffa19d5af347ae7d72f1</t>
  </si>
  <si>
    <t>M23</t>
  </si>
  <si>
    <t>453205ae451d8bf0b9f7ec224151debd3877dac2cb78be044878cf856e25d830</t>
  </si>
  <si>
    <t>M24</t>
  </si>
  <si>
    <t>08c65eebf3c102885be33adb98df1c3b131c853227fdc98da8b5945901174c82</t>
  </si>
  <si>
    <t>M25</t>
  </si>
  <si>
    <t>c57029d62da1dcf09ad4a0f6aafaf2992f6d2103972dd7efd3fb4b110475f347</t>
  </si>
  <si>
    <t>M26</t>
  </si>
  <si>
    <t>d60f07966072cc1bcf8bb07023301233a9e8024cb30d40d167d78ecb6e731e0e</t>
  </si>
  <si>
    <t>M27</t>
  </si>
  <si>
    <t>shellagent</t>
  </si>
  <si>
    <t>f29f960878e8dcf72d02f9a7e3e7b5de4fc20b00a079f2571a70e6d63edae050</t>
  </si>
  <si>
    <t>M28</t>
  </si>
  <si>
    <t>10e3c8bb2f511fdfa0116796843e509b71b214f5f2eb99df62a2b18ca42401b4</t>
  </si>
  <si>
    <t>M29</t>
  </si>
  <si>
    <t>31ce1f5ad0300191617aee4ff65b0e681ad95ea3c1827b3017c5259be25ba8f5</t>
  </si>
  <si>
    <t>M30</t>
  </si>
  <si>
    <t>28c472c1e51cdb7ede9a963fa0ab0cb42d4f9e769a4c645e7909d5c13d3cf131</t>
  </si>
  <si>
    <t>M31</t>
  </si>
  <si>
    <t>20ea8978c8c543e4d1b3947bb533277e3e1318eed2bc9570a1e4bf3daeb03123</t>
  </si>
  <si>
    <t>M32</t>
  </si>
  <si>
    <t>fc05f3d67d42376c732be5fb967a80eaf235995a45cd508354306b57f080697d</t>
  </si>
  <si>
    <t>M33</t>
  </si>
  <si>
    <t>462b461222ca322af02f7d15fc6d4c2a219f91b04334cf3b7d5c9bdc0a34cb15</t>
  </si>
  <si>
    <t>M34</t>
  </si>
  <si>
    <t>4f49ff8f307e2c92e88ccf16f58460741df58f48a94238e6cb39e7f9afec4875</t>
  </si>
  <si>
    <t>M35</t>
  </si>
  <si>
    <t>1bb8ed6857251daabd4949311fb1028c14ffa8f2482d5d8072f89b2f0864644f</t>
  </si>
  <si>
    <t>M36</t>
  </si>
  <si>
    <t>Dakkatoni</t>
  </si>
  <si>
    <t>cd8854cd185ccd37c4b95c87bf33f8bd687b841fa4d29893f9f7a747703cdcea</t>
  </si>
  <si>
    <t>M37</t>
  </si>
  <si>
    <t>6ecabf12cf455d849c1d74b4662a724faeae51e6f65e2af4b500d6097b98cf94</t>
  </si>
  <si>
    <t>M38</t>
  </si>
  <si>
    <t>e6d9fb6655e66915cf1ddc40e32a2b33ed711736335e48cf081df352ed602060</t>
  </si>
  <si>
    <t>M39</t>
  </si>
  <si>
    <t>43d466b8ed5c4987534d63bdcc9d15a4d238983f4de2df83b4c08849f3a94f31</t>
  </si>
  <si>
    <t>B15</t>
  </si>
  <si>
    <t>xterm + ls + cat /etc/passwd</t>
  </si>
  <si>
    <t>cmd_6mx_7mu1_e0da9a46_1781607858</t>
  </si>
  <si>
    <t>B16</t>
  </si>
  <si>
    <t>xfce4-terminal + ls + cat /etc/passwd</t>
  </si>
  <si>
    <t>cmd_s1fl0021_80ba38fb_1781122550</t>
  </si>
  <si>
    <t>B17</t>
  </si>
  <si>
    <t>lxterminal + ls + cat /etc/passwd + cat /etc/shadow</t>
  </si>
  <si>
    <t>cmd_dr41ljpl_f3587ae0_1781123335</t>
  </si>
  <si>
    <t>B18</t>
  </si>
  <si>
    <t>mousepad</t>
  </si>
  <si>
    <t>cmd_2s_2unvr_eeb1a5a2_1781124172</t>
  </si>
  <si>
    <t>B19</t>
  </si>
  <si>
    <t>gedit</t>
  </si>
  <si>
    <t>cmd_2cgu9lmj_2d196527_1781202924</t>
  </si>
  <si>
    <t>B20</t>
  </si>
  <si>
    <t>xed</t>
  </si>
  <si>
    <t>cmd_8s313bir_3fff53a5_1781121009</t>
  </si>
  <si>
    <t>B21</t>
  </si>
  <si>
    <t>geany</t>
  </si>
  <si>
    <t>cmd_uvufndvn_6e71a91d_1781199996</t>
  </si>
  <si>
    <t>B22</t>
  </si>
  <si>
    <t>ghostwriter</t>
  </si>
  <si>
    <t>cmd_g_9ari5k_0f688fc8_1781201383</t>
  </si>
  <si>
    <t>B23</t>
  </si>
  <si>
    <t>focuswriter</t>
  </si>
  <si>
    <t>cmd_0x5t4gbv_94455ed7_1781201786</t>
  </si>
  <si>
    <t>B24</t>
  </si>
  <si>
    <t>xterm -e "bash -c 'figlet
Benign Sample; sleep 5'"</t>
  </si>
  <si>
    <t>cmd_6ccshnb1_84be2adf_1781205250</t>
  </si>
  <si>
    <t>B25</t>
  </si>
  <si>
    <t>renamer.sh</t>
  </si>
  <si>
    <t>s1rn_12765762_1781596303</t>
  </si>
  <si>
    <t>B26</t>
  </si>
  <si>
    <t>network_probe.py</t>
  </si>
  <si>
    <t>s2net_67787f3e_1781596811</t>
  </si>
  <si>
    <t>B27</t>
  </si>
  <si>
    <t>self_modify.sh</t>
  </si>
  <si>
    <t>s3sm_a1a11688_1781206283</t>
  </si>
  <si>
    <t>B28</t>
  </si>
  <si>
    <t>crypto_play.py</t>
  </si>
  <si>
    <t>s4cr_6e641b63_1781597331</t>
  </si>
  <si>
    <t>B29</t>
  </si>
  <si>
    <t>syscall_generator.py</t>
  </si>
  <si>
    <t>s5_883802dc_1781597973</t>
  </si>
  <si>
    <t>B30</t>
  </si>
  <si>
    <t>dosbox</t>
  </si>
  <si>
    <t>cmd_v3f7bvpr_8a9a20b1_1781446061</t>
  </si>
  <si>
    <t>B31</t>
  </si>
  <si>
    <t>texstudio</t>
  </si>
  <si>
    <t>cmd_50nun09g_2db89297_1781605723</t>
  </si>
  <si>
    <t>B32</t>
  </si>
  <si>
    <t>entr</t>
  </si>
  <si>
    <t>rtne_f3e81c19_1781292877</t>
  </si>
  <si>
    <t>B33</t>
  </si>
  <si>
    <t>fio</t>
  </si>
  <si>
    <t>oif_1ee486aa_1781598813</t>
  </si>
  <si>
    <t>B34</t>
  </si>
  <si>
    <t>socat</t>
  </si>
  <si>
    <t>tacos_0790a627_1781293825</t>
  </si>
  <si>
    <t>B35</t>
  </si>
  <si>
    <t>inotifywait</t>
  </si>
  <si>
    <t>tiawyfitoni_bd9e8473_1781294215</t>
  </si>
  <si>
    <t>B36</t>
  </si>
  <si>
    <t>tmate</t>
  </si>
  <si>
    <t>etamt_e2d8b2af_1781294839</t>
  </si>
  <si>
    <t>B37</t>
  </si>
  <si>
    <t>stress-ng</t>
  </si>
  <si>
    <t>sserts_b7d62b55_1781605021</t>
  </si>
  <si>
    <t>B38</t>
  </si>
  <si>
    <t>KMyMoney</t>
  </si>
  <si>
    <t>cmd_8wr8vk3s_22249b4b_1781607072</t>
  </si>
  <si>
    <t>B39</t>
  </si>
  <si>
    <t>glances</t>
  </si>
  <si>
    <t>cmd_bua1o3c__6122b6bc_1781126463</t>
  </si>
  <si>
    <t>M40</t>
  </si>
  <si>
    <t>865b81ab455e87645ab0a1f9f43ef708350c9c0f5463799785ea6f5e629a4aff</t>
  </si>
  <si>
    <t>M41</t>
  </si>
  <si>
    <t>99109dd47ccef9ad44084cfffe9a26cafb7f7394ae3b38ff5a683d78e6d38ef0</t>
  </si>
  <si>
    <t>M42</t>
  </si>
  <si>
    <t>9b1a7f7713da9688b0ee16b5976a8557a467cc7a0101ada306e2eb298f7cc71a</t>
  </si>
  <si>
    <t>M43</t>
  </si>
  <si>
    <t>shell</t>
  </si>
  <si>
    <t>1edfaca721f86dcc5bd3c43f46b25cb8722c5e76e8775fe8da868ca8017c5d96</t>
  </si>
  <si>
    <t>M44</t>
  </si>
  <si>
    <t>6253eeeb0d742e8cd46da8e89658577fcebff8f6c4dabc2e586b2d6bf4dd0cac</t>
  </si>
  <si>
    <t>M45</t>
  </si>
  <si>
    <t>07f3b3b3d68b66d02e38edc1a4dde77f2245c3b33054b92322d757f0d27b4697</t>
  </si>
  <si>
    <t>M46</t>
  </si>
  <si>
    <t>ddos</t>
  </si>
  <si>
    <t>e06721afb9d6fe0e0af0a5b08c3e931f5f24ad63f0ab0b421899830536dfc76c</t>
  </si>
  <si>
    <t>M47</t>
  </si>
  <si>
    <t>e57b1845b339fd601f9c2b7777549ec883d5678944592437f48a2a87bed0a141</t>
  </si>
  <si>
    <t>M48</t>
  </si>
  <si>
    <t>40d6c0d0be3788ae6c0b319017cbd190e510f3985650bae20d5b57f36f6ee34f</t>
  </si>
  <si>
    <t>M49</t>
  </si>
  <si>
    <t>76f1cf01e9ea5622a2998bd29fdf647ad7c5797c6bf7570ea585e32bcd43353c</t>
  </si>
  <si>
    <t>B40</t>
  </si>
  <si>
    <t>test_nmap.sh</t>
  </si>
  <si>
    <t>test_nmap_776c59f8_1782410911</t>
  </si>
  <si>
    <t>B41</t>
  </si>
  <si>
    <t>test_rsync.sh</t>
  </si>
  <si>
    <t>test_rsync_f029cbb2_1782411449</t>
  </si>
  <si>
    <t>B42</t>
  </si>
  <si>
    <t>test_gdb.sh</t>
  </si>
  <si>
    <t>test_gdb_1c398814_1782411756</t>
  </si>
  <si>
    <t>B43</t>
  </si>
  <si>
    <t>test_crypto.sh</t>
  </si>
  <si>
    <t>test_crypto_d9379d12_1782412150</t>
  </si>
  <si>
    <t>B44</t>
  </si>
  <si>
    <t>test_curl.sh</t>
  </si>
  <si>
    <t>test_curl_388b437c_1782412381</t>
  </si>
  <si>
    <t>B45</t>
  </si>
  <si>
    <t>test_netstat.sh</t>
  </si>
  <si>
    <t>test_netstat_48b871a0_1782412881</t>
  </si>
  <si>
    <t>B46</t>
  </si>
  <si>
    <t>test_bwrap.sh</t>
  </si>
  <si>
    <t>test_bwrap_077598ca_1782413097</t>
  </si>
  <si>
    <t>B47</t>
  </si>
  <si>
    <t>test_ipc.py</t>
  </si>
  <si>
    <t>test_ipc_df0c5fdf_1782413323</t>
  </si>
  <si>
    <t>B48</t>
  </si>
  <si>
    <t>test_at.sh</t>
  </si>
  <si>
    <t>test_at_e520e21d_1782413607</t>
  </si>
  <si>
    <t>B49</t>
  </si>
  <si>
    <t>test_sniff.sh</t>
  </si>
  <si>
    <t>test_sniff_20acc3e0_1782413957</t>
  </si>
  <si>
    <t>M50</t>
  </si>
  <si>
    <t>Vigorf</t>
  </si>
  <si>
    <t>85c991b0dddbc6d255ac522983ccef5a11956162325031b19a44faf10686050e</t>
  </si>
  <si>
    <t>M51</t>
  </si>
  <si>
    <t>abb4b4b988a870008e4834c56b16b654760d4e436a0b1c0e0c6b4f387b5cad92</t>
  </si>
  <si>
    <t>M52</t>
  </si>
  <si>
    <t>d8c35972101923e509a4d9b0b159c6cd5110811d09f8ce8e98d4defcef91c682</t>
  </si>
  <si>
    <t>M53</t>
  </si>
  <si>
    <t>e5fa7ff50d1b425e3c861c945ad4b5be327d4830e36aed38592559b6e31ec31b</t>
  </si>
  <si>
    <t>M54</t>
  </si>
  <si>
    <t>Medusa</t>
  </si>
  <si>
    <t>404b856e5f523b6354adef5c99becc5ec973edeab666af39f57157c654b47f5c</t>
  </si>
  <si>
    <t>M55</t>
  </si>
  <si>
    <t>b6eec6603c9ab5b34ea281c1e36021536f203d3670f7cfa26897058d5835bdc1</t>
  </si>
  <si>
    <t>M56</t>
  </si>
  <si>
    <t>SHubStealer</t>
  </si>
  <si>
    <t>b62dc83e91db6431a0937c7b3835dc38cc475c7f9d7c2ecf877d73c2ec9320be</t>
  </si>
  <si>
    <t>M57</t>
  </si>
  <si>
    <t>7bd9b104384732f52482278102a2756de0946f28c4e97b61e74e79b40b312a3a</t>
  </si>
  <si>
    <t>M58</t>
  </si>
  <si>
    <t>e765cb8dceafdb576923f61b4a25d8c73abb578d22102bdcd19f57c3cb87b97f</t>
  </si>
  <si>
    <t>M59</t>
  </si>
  <si>
    <t>Multiverze</t>
  </si>
  <si>
    <t>636f7e8a0ff3db0e7da27451cb64e0ab2ff8ea19e9b666ec714b3db879da965a</t>
  </si>
  <si>
    <t>B50</t>
  </si>
  <si>
    <t>Restic: test_secure_backup.sh</t>
  </si>
  <si>
    <t>test_secure_backup_66e79e33_1782415552</t>
  </si>
  <si>
    <t>B51</t>
  </si>
  <si>
    <t>Fakechroot: test_isolated_env.sh</t>
  </si>
  <si>
    <t>test_isolated_env_3234c368_1782416062</t>
  </si>
  <si>
    <t>B52</t>
  </si>
  <si>
    <t>Steghide: test_stego_stager.sh</t>
  </si>
  <si>
    <t>test_stego_stager_bc496d5d_1782416457</t>
  </si>
  <si>
    <t>B53</t>
  </si>
  <si>
    <t>DNSPython: test_dns_beaconing.py</t>
  </si>
  <si>
    <t>test_dns_beaconing_5fafb7cc_1782416706</t>
  </si>
  <si>
    <t>B54</t>
  </si>
  <si>
    <t>Gocryptfs: test_crypto_filesystem.sh</t>
  </si>
  <si>
    <t>test_crypto_filesystem_699d4f2f_1782453575</t>
  </si>
  <si>
    <t>B55</t>
  </si>
  <si>
    <t>UPX (Ultimate Packer for eXecutables): test_binary_packer.sh</t>
  </si>
  <si>
    <t>test_binary_packer_e777c8ea_1782453892</t>
  </si>
  <si>
    <t>B56</t>
  </si>
  <si>
    <t>Cppcheck: test_source_auditor.sh</t>
  </si>
  <si>
    <t>test_source_auditor_2507f1ed_1782454105</t>
  </si>
  <si>
    <t>B57</t>
  </si>
  <si>
    <t>Par2: test_parity_protection.sh</t>
  </si>
  <si>
    <t>test_parity_protection_42a18599_1782454333</t>
  </si>
  <si>
    <t>B58</t>
  </si>
  <si>
    <t>Python Asyncio Network Stack: test_local_reverse_proxy.py</t>
  </si>
  <si>
    <t>test_local_reverse_proxy_27212c5c_1782454630</t>
  </si>
  <si>
    <t>B59</t>
  </si>
  <si>
    <t>GNU Parallel: test_concurrent_scraper.sh</t>
  </si>
  <si>
    <t>test_concurrent_scraper_24b0613d_1782454825</t>
  </si>
  <si>
    <t>M60</t>
  </si>
  <si>
    <t>983a9ee1284b3d3d3d3dca95c240005c2ba171ae45b5c19225df3ba8799030eb</t>
  </si>
  <si>
    <t>M61</t>
  </si>
  <si>
    <t>cb3935f816e68e16a096dea0cf44b687632a1b16fc11f43154626a22bfb69b61</t>
  </si>
  <si>
    <t>M62</t>
  </si>
  <si>
    <t>0dc95fb4077cce0bff19aa1a77109d059dff6503bbf6c1b0dd2f41fc0a4c88e7</t>
  </si>
  <si>
    <t>M63</t>
  </si>
  <si>
    <t>620e9a7dc1090c48edae5bb3374b9b0a7fc7fa3d1f4063f49e9fb10d11df8b15</t>
  </si>
  <si>
    <t>M64</t>
  </si>
  <si>
    <t>7368efd7b91d1de55f6502181641269b4547a4d67b77628c595b2e5be6716053</t>
  </si>
  <si>
    <t>M65</t>
  </si>
  <si>
    <t>c4013f8833f35406640e99bb9396f93f470a6152935de3ab447cda3e86d8e0e0</t>
  </si>
  <si>
    <t>M66</t>
  </si>
  <si>
    <t>b3029f0a6211b9f3a6bbaed1f600c0394f99552d5831966794cf9951f02b4c75</t>
  </si>
  <si>
    <t>M67</t>
  </si>
  <si>
    <t>c2c32128bc6834b0312188e2fd525704979b28b2b49a6c4676f069c6d2026bdb</t>
  </si>
  <si>
    <t>M68</t>
  </si>
  <si>
    <t>ed687091ba91fa8931c2ef5666cfee269231bfc1dd0b6f590833b69da4b9ec21</t>
  </si>
  <si>
    <t>M69</t>
  </si>
  <si>
    <t>8cd8ed034c44cc9eed7a3ee5944c78f796e9c957b2c403a798bd2719c9ad1cb1</t>
  </si>
  <si>
    <t>M70</t>
  </si>
  <si>
    <t>7420e819e6cf6d7608e475468ae0160185fe7eed0b5b4129aad3e8dabc776e30</t>
  </si>
  <si>
    <t>M71</t>
  </si>
  <si>
    <t>cd043686efd299f7afb3fb9caab89795ed168d54988ac4a649a30c2493bd06d6</t>
  </si>
  <si>
    <t>M72</t>
  </si>
  <si>
    <t>XorDDoS</t>
  </si>
  <si>
    <t>b26780bcc66dc4f9be647233a80c900fa76f0a706bb9bea437431b5b5c1dd574</t>
  </si>
  <si>
    <t>M73</t>
  </si>
  <si>
    <t>1773417df54b24fb313a05457a9e3163d6e48b52e5c983bc6ddacfc926bdd43f</t>
  </si>
  <si>
    <t>M74</t>
  </si>
  <si>
    <t>Gafgyt</t>
  </si>
  <si>
    <t>3af61e6989cdae2f0b0cdbb3023531b0453d7db9c6da7d615a96a92710d34a06</t>
  </si>
  <si>
    <t>B60</t>
  </si>
  <si>
    <t>netcat-openbsd (nc): test_nc_listener.sh</t>
  </si>
  <si>
    <t>test_nc_listener_4f90a70c_1782564205</t>
  </si>
  <si>
    <t>B61</t>
  </si>
  <si>
    <t>John the Ripper: test_john_cracker.sh</t>
  </si>
  <si>
    <t>test_john_cracker_afa18cc1_1782563250</t>
  </si>
  <si>
    <t>B62</t>
  </si>
  <si>
    <t>tshark (Wireshark CLI): test_tshark_capture.sh</t>
  </si>
  <si>
    <t>test_tshark_capture_a932c1b4_1782564485</t>
  </si>
  <si>
    <t>B63</t>
  </si>
  <si>
    <t>ClamAV (clamscan): test_clamav_scan.sh</t>
  </si>
  <si>
    <t>test_clamav_scan_18eb214b_1782561631</t>
  </si>
  <si>
    <t>B64</t>
  </si>
  <si>
    <t>rkhunter: test_rkhunter_scan.sh</t>
  </si>
  <si>
    <t>test_rkhunter_scan_555e71db_1782564807</t>
  </si>
  <si>
    <t>B65</t>
  </si>
  <si>
    <t>chkrootkit: test_chkrootkit_scan.sh</t>
  </si>
  <si>
    <t>test_chkrootkit_scan_652db2f9_1782565267</t>
  </si>
  <si>
    <t>B66</t>
  </si>
  <si>
    <t>GnuPG (gpg): test_gnupg_encrypt.sh</t>
  </si>
  <si>
    <t>test_gnupg_encrypt_12172d57_1782566462</t>
  </si>
  <si>
    <t>B67</t>
  </si>
  <si>
    <t>BorgBackup: test_borgbackup.sh</t>
  </si>
  <si>
    <t>test_borgbackup_c2039191_1782566750</t>
  </si>
  <si>
    <t>B68</t>
  </si>
  <si>
    <t>yt-dlp: test_ytdlp_download.sh</t>
  </si>
  <si>
    <t>test_ytdlp_download_662af9e4_1782567083</t>
  </si>
  <si>
    <t>B69</t>
  </si>
  <si>
    <t>xdotool (+ Xvfb): test_xdotool_headless.sh</t>
  </si>
  <si>
    <t>test_xdotool_headless_069af454_1782567413</t>
  </si>
  <si>
    <t>B70</t>
  </si>
  <si>
    <t>tmux: test_tmux_detached.sh</t>
  </si>
  <si>
    <t>test_tmux_detached_2e84e1f1_1782563918</t>
  </si>
  <si>
    <t>B71</t>
  </si>
  <si>
    <t>stunnel: test_stunnel_tls.sh</t>
  </si>
  <si>
    <t>test_stunnel_tls_cba513e9_1782567838</t>
  </si>
  <si>
    <t>B72</t>
  </si>
  <si>
    <t>sshuttle: test_sshuttle_tunnel.sh</t>
  </si>
  <si>
    <t>test_sshuttle_tunnel_94901707_1782568146</t>
  </si>
  <si>
    <t>B73</t>
  </si>
  <si>
    <t>iperf3: test_iperf3_datapipe.sh</t>
  </si>
  <si>
    <t>test_iperf3_datapipe_7b3f39e1_1782568647</t>
  </si>
  <si>
    <t>B74</t>
  </si>
  <si>
    <t>localtunnel (lt): test_localtunnel_expose.sh</t>
  </si>
  <si>
    <t>test_localtunnel_expose_db317dd2_1782568906</t>
  </si>
  <si>
    <t>Metric</t>
  </si>
  <si>
    <t>Count (Suspicious as Malicious)</t>
  </si>
  <si>
    <t>Count (Suspicious as Benign)</t>
  </si>
  <si>
    <t>True Positives</t>
  </si>
  <si>
    <t>True Negatives</t>
  </si>
  <si>
    <t>False Positives</t>
  </si>
  <si>
    <t>False Negatives</t>
  </si>
  <si>
    <t>Mistral</t>
  </si>
  <si>
    <t>Deepseek</t>
  </si>
  <si>
    <t>Notes</t>
  </si>
  <si>
    <t>Count (Suspicious as Malicious): SUSPICIOUS verdicts are treated as MALICIOUS.</t>
  </si>
  <si>
    <t>Count (Suspicious as Benign): SUSPICIOUS verdicts are treated as BENIGN.</t>
  </si>
  <si>
    <t>"Compared tests only" = rows marked YES in the COMPARE column of the Tests sheet.</t>
  </si>
  <si>
    <t>BENIGN samples</t>
  </si>
  <si>
    <t>Gemini</t>
  </si>
  <si>
    <t>Count</t>
  </si>
  <si>
    <t>%</t>
  </si>
  <si>
    <t>Total BENIGN tests</t>
  </si>
  <si>
    <t>Correctly flagged (as BENIGN)</t>
  </si>
  <si>
    <t>Flagged as MALICIOUS or SUSPICIOUS (false alarms)</t>
  </si>
  <si>
    <t>↳ of which flagged as SUSPICIOUS</t>
  </si>
  <si>
    <t>↳ of which flagged as MALICIOUS</t>
  </si>
  <si>
    <t>MALICIOUS samples</t>
  </si>
  <si>
    <t>Total MALICIOUS tests</t>
  </si>
  <si>
    <t>Correctly flagged (as MALICIOUS)</t>
  </si>
  <si>
    <t>Flagged as BENIGN or SUSPICIOUS</t>
  </si>
  <si>
    <t>↳ of which flagged as BENIGN (missed / False Negatives)</t>
  </si>
  <si>
    <t>Model predictions (all tests)</t>
  </si>
  <si>
    <t>Prediction</t>
  </si>
  <si>
    <t>Total tests</t>
  </si>
  <si>
    <t>All values are calculated from the Tests sheet (TYPE = ground truth; the model columns hold the pipeline verdicts).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</si>
</sst>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3"/>
      <color rgb="FF356854"/>
      <name val="Arial"/>
      <charset val="1"/>
    </font>
    <font>
      <i/>
      <sz val="9"/>
      <color rgb="FF595959"/>
      <name val="Arial"/>
      <charset val="1"/>
    </font>
    <font>
      <b/>
      <sz val="10"/>
      <color rgb="FF356854"/>
      <name val="Arial"/>
      <charset val="1"/>
    </font>
    <font>
      <b/>
      <sz val="10"/>
      <color rgb="FF000000"/>
      <name val="Arial"/>
      <charset val="1"/>
    </font>
    <font>
      <i/>
      <sz val="10"/>
      <color rgb="FF595959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356854"/>
        <bgColor rgb="FF2E5E2B"/>
      </patternFill>
    </fill>
    <fill>
      <patternFill patternType="solid">
        <fgColor rgb="FFD9D9D9"/>
        <bgColor rgb="FFD0D7D3"/>
      </patternFill>
    </fill>
    <fill>
      <patternFill patternType="solid">
        <fgColor rgb="FFF6F8F9"/>
        <bgColor rgb="FFFFFFFF"/>
      </patternFill>
    </fill>
    <fill>
      <patternFill patternType="solid">
        <fgColor rgb="FFDCE9E2"/>
        <bgColor rgb="FFDFF0D8"/>
      </patternFill>
    </fill>
  </fills>
  <borders count="2">
    <border>
      <left/>
      <right/>
      <top/>
      <bottom/>
      <diagonal/>
    </border>
    <border>
      <left style="thin">
        <color rgb="FFD0D7D3"/>
      </left>
      <right style="thin">
        <color rgb="FFD0D7D3"/>
      </right>
      <top style="thin">
        <color rgb="FFD0D7D3"/>
      </top>
      <bottom style="thin">
        <color rgb="FFD0D7D3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  <xf numFmtId="0" fontId="3" fillId="0" borderId="1" xfId="0" applyFont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 indent="1"/>
    </xf>
    <xf numFmtId="0" fontId="3" fillId="0" borderId="0" xfId="0" applyFont="1" applyAlignment="1">
      <alignment horizontal="left" vertical="center" indent="1"/>
    </xf>
    <xf numFmtId="0" fontId="4" fillId="0" borderId="0" xfId="0" applyFont="1"/>
    <xf numFmtId="0" fontId="1" fillId="2" borderId="1" xfId="0" applyFont="1" applyFill="1" applyBorder="1" applyAlignment="1">
      <alignment horizontal="left" vertical="center" wrapText="1" indent="1"/>
    </xf>
    <xf numFmtId="0" fontId="2" fillId="4" borderId="1" xfId="0" applyFont="1" applyFill="1" applyBorder="1" applyAlignment="1">
      <alignment horizontal="left" vertical="center" indent="1"/>
    </xf>
    <xf numFmtId="0" fontId="2" fillId="0" borderId="0" xfId="0" applyFont="1"/>
    <xf numFmtId="0" fontId="5" fillId="0" borderId="0" xfId="0" applyFont="1"/>
    <xf numFmtId="0" fontId="6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left" vertical="center" indent="1"/>
    </xf>
    <xf numFmtId="1" fontId="7" fillId="0" borderId="1" xfId="0" applyNumberFormat="1" applyFont="1" applyBorder="1" applyAlignment="1">
      <alignment horizontal="center" vertical="center"/>
    </xf>
    <xf numFmtId="10" fontId="7" fillId="0" borderId="1" xfId="0" applyNumberFormat="1" applyFont="1" applyBorder="1" applyAlignment="1">
      <alignment horizontal="center" vertical="center"/>
    </xf>
    <xf numFmtId="0" fontId="8" fillId="4" borderId="1" xfId="0" applyFont="1" applyFill="1" applyBorder="1" applyAlignment="1">
      <alignment horizontal="left" vertical="center" indent="3"/>
    </xf>
    <xf numFmtId="1" fontId="8" fillId="0" borderId="1" xfId="0" applyNumberFormat="1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0" fontId="2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 indent="1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color rgb="FF595959"/>
        <name val="Arial"/>
        <charset val="1"/>
      </font>
      <fill>
        <patternFill>
          <bgColor rgb="FFEDEDED"/>
        </patternFill>
      </fill>
    </dxf>
    <dxf>
      <font>
        <b/>
        <color rgb="FF7F6000"/>
        <name val="Arial"/>
        <charset val="1"/>
      </font>
      <fill>
        <patternFill>
          <bgColor rgb="FFFFF2CC"/>
        </patternFill>
      </fill>
    </dxf>
    <dxf>
      <font>
        <b/>
        <color rgb="FF2E5E2B"/>
        <name val="Arial"/>
        <charset val="1"/>
      </font>
      <fill>
        <patternFill>
          <bgColor rgb="FFDFF0D8"/>
        </patternFill>
      </fill>
    </dxf>
    <dxf>
      <font>
        <b/>
        <color rgb="FF842029"/>
        <name val="Arial"/>
        <charset val="1"/>
      </font>
      <fill>
        <patternFill>
          <bgColor rgb="FFF8D7DA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356854"/>
      <rgbColor rgb="FFD9D9D9"/>
      <rgbColor rgb="FF808080"/>
      <rgbColor rgb="FF9999FF"/>
      <rgbColor rgb="FF993366"/>
      <rgbColor rgb="FFFFF2CC"/>
      <rgbColor rgb="FFDCE9E2"/>
      <rgbColor rgb="FF660066"/>
      <rgbColor rgb="FFFF8080"/>
      <rgbColor rgb="FF0066CC"/>
      <rgbColor rgb="FFD0D7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DFF0D8"/>
      <rgbColor rgb="FFF6F8F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842029"/>
      <rgbColor rgb="FF993366"/>
      <rgbColor rgb="FF333399"/>
      <rgbColor rgb="FF2E5E2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sts_Table" displayName="Tests_Table" ref="A1:G197" totalsRowShown="0">
  <autoFilter ref="A1:G197" xr:uid="{00000000-0009-0000-0100-000001000000}"/>
  <tableColumns count="7">
    <tableColumn id="1" xr3:uid="{00000000-0010-0000-0000-000001000000}" name="ID"/>
    <tableColumn id="2" xr3:uid="{00000000-0010-0000-0000-000002000000}" name="NAME"/>
    <tableColumn id="3" xr3:uid="{00000000-0010-0000-0000-000003000000}" name="SHA256 / RUN ID"/>
    <tableColumn id="4" xr3:uid="{00000000-0010-0000-0000-000004000000}" name="TYPE"/>
    <tableColumn id="5" xr3:uid="{00000000-0010-0000-0000-000005000000}" name="PIPELINE RESULT Gemini"/>
    <tableColumn id="6" xr3:uid="{00000000-0010-0000-0000-000006000000}" name="PIPELINE RESULT Mistral"/>
    <tableColumn id="7" xr3:uid="{00000000-0010-0000-0000-000007000000}" name="PIPELINE RESULT Deepseek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97"/>
  <sheetViews>
    <sheetView showGridLines="0" topLeftCell="B1" zoomScaleNormal="100" workbookViewId="0">
      <pane ySplit="1" topLeftCell="A36" activePane="bottomLeft" state="frozen"/>
      <selection pane="bottomLeft" activeCell="I7" sqref="I7"/>
    </sheetView>
  </sheetViews>
  <sheetFormatPr defaultColWidth="12.6640625" defaultRowHeight="13.2" x14ac:dyDescent="0.25"/>
  <cols>
    <col min="1" max="1" width="8" customWidth="1"/>
    <col min="2" max="2" width="60" customWidth="1"/>
    <col min="3" max="3" width="70" customWidth="1"/>
    <col min="4" max="4" width="13" customWidth="1"/>
    <col min="5" max="7" width="25" customWidth="1"/>
    <col min="8" max="8" width="12" customWidth="1"/>
  </cols>
  <sheetData>
    <row r="1" spans="1:7" ht="31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1" customHeight="1" x14ac:dyDescent="0.25">
      <c r="A2" s="2" t="s">
        <v>7</v>
      </c>
      <c r="B2" s="3" t="s">
        <v>8</v>
      </c>
      <c r="C2" s="4" t="s">
        <v>9</v>
      </c>
      <c r="D2" s="5" t="s">
        <v>10</v>
      </c>
      <c r="E2" s="5" t="s">
        <v>10</v>
      </c>
      <c r="F2" s="5" t="s">
        <v>10</v>
      </c>
      <c r="G2" s="5" t="s">
        <v>10</v>
      </c>
    </row>
    <row r="3" spans="1:7" ht="21" customHeight="1" x14ac:dyDescent="0.25">
      <c r="A3" s="2" t="s">
        <v>11</v>
      </c>
      <c r="B3" s="3" t="s">
        <v>12</v>
      </c>
      <c r="C3" s="4" t="s">
        <v>13</v>
      </c>
      <c r="D3" s="5" t="s">
        <v>14</v>
      </c>
      <c r="E3" s="5" t="s">
        <v>14</v>
      </c>
      <c r="F3" s="5" t="s">
        <v>14</v>
      </c>
      <c r="G3" s="5" t="s">
        <v>14</v>
      </c>
    </row>
    <row r="4" spans="1:7" ht="6" customHeight="1" x14ac:dyDescent="0.25">
      <c r="A4" s="6"/>
      <c r="B4" s="7"/>
      <c r="C4" s="6"/>
      <c r="D4" s="6"/>
      <c r="E4" s="6"/>
      <c r="F4" s="6"/>
      <c r="G4" s="6"/>
    </row>
    <row r="5" spans="1:7" ht="21" customHeight="1" x14ac:dyDescent="0.25">
      <c r="A5" s="2" t="s">
        <v>15</v>
      </c>
      <c r="B5" s="3" t="s">
        <v>16</v>
      </c>
      <c r="C5" s="4" t="s">
        <v>17</v>
      </c>
      <c r="D5" s="5" t="s">
        <v>10</v>
      </c>
      <c r="E5" s="5" t="s">
        <v>10</v>
      </c>
      <c r="F5" s="5" t="s">
        <v>10</v>
      </c>
      <c r="G5" s="5" t="s">
        <v>10</v>
      </c>
    </row>
    <row r="6" spans="1:7" ht="21" customHeight="1" x14ac:dyDescent="0.25">
      <c r="A6" s="2" t="s">
        <v>18</v>
      </c>
      <c r="B6" s="3" t="s">
        <v>19</v>
      </c>
      <c r="C6" s="4" t="s">
        <v>20</v>
      </c>
      <c r="D6" s="5" t="s">
        <v>10</v>
      </c>
      <c r="E6" s="5" t="s">
        <v>10</v>
      </c>
      <c r="F6" s="5" t="s">
        <v>14</v>
      </c>
      <c r="G6" s="5" t="s">
        <v>14</v>
      </c>
    </row>
    <row r="7" spans="1:7" ht="21" customHeight="1" x14ac:dyDescent="0.25">
      <c r="A7" s="2" t="s">
        <v>21</v>
      </c>
      <c r="B7" s="3" t="s">
        <v>22</v>
      </c>
      <c r="C7" s="4" t="s">
        <v>23</v>
      </c>
      <c r="D7" s="5" t="s">
        <v>10</v>
      </c>
      <c r="E7" s="5" t="s">
        <v>10</v>
      </c>
      <c r="F7" s="5" t="s">
        <v>10</v>
      </c>
      <c r="G7" s="5" t="s">
        <v>10</v>
      </c>
    </row>
    <row r="8" spans="1:7" ht="21" customHeight="1" x14ac:dyDescent="0.25">
      <c r="A8" s="2" t="s">
        <v>24</v>
      </c>
      <c r="B8" s="3" t="s">
        <v>25</v>
      </c>
      <c r="C8" s="4" t="s">
        <v>26</v>
      </c>
      <c r="D8" s="5" t="s">
        <v>10</v>
      </c>
      <c r="E8" s="5" t="s">
        <v>10</v>
      </c>
      <c r="F8" s="5" t="s">
        <v>14</v>
      </c>
      <c r="G8" s="5" t="s">
        <v>10</v>
      </c>
    </row>
    <row r="9" spans="1:7" ht="21" customHeight="1" x14ac:dyDescent="0.25">
      <c r="A9" s="2" t="s">
        <v>27</v>
      </c>
      <c r="B9" s="3" t="s">
        <v>22</v>
      </c>
      <c r="C9" s="4" t="s">
        <v>28</v>
      </c>
      <c r="D9" s="5" t="s">
        <v>10</v>
      </c>
      <c r="E9" s="5" t="s">
        <v>10</v>
      </c>
      <c r="F9" s="5" t="s">
        <v>10</v>
      </c>
      <c r="G9" s="5" t="s">
        <v>10</v>
      </c>
    </row>
    <row r="10" spans="1:7" ht="21" customHeight="1" x14ac:dyDescent="0.25">
      <c r="A10" s="2" t="s">
        <v>29</v>
      </c>
      <c r="B10" s="3" t="s">
        <v>30</v>
      </c>
      <c r="C10" s="4" t="s">
        <v>31</v>
      </c>
      <c r="D10" s="5" t="s">
        <v>10</v>
      </c>
      <c r="E10" s="5" t="s">
        <v>10</v>
      </c>
      <c r="F10" s="5" t="s">
        <v>10</v>
      </c>
      <c r="G10" s="5" t="s">
        <v>10</v>
      </c>
    </row>
    <row r="11" spans="1:7" ht="21" customHeight="1" x14ac:dyDescent="0.25">
      <c r="A11" s="2" t="s">
        <v>32</v>
      </c>
      <c r="B11" s="3" t="s">
        <v>30</v>
      </c>
      <c r="C11" s="4" t="s">
        <v>33</v>
      </c>
      <c r="D11" s="5" t="s">
        <v>10</v>
      </c>
      <c r="E11" s="5" t="s">
        <v>10</v>
      </c>
      <c r="F11" s="5" t="s">
        <v>10</v>
      </c>
      <c r="G11" s="5" t="s">
        <v>10</v>
      </c>
    </row>
    <row r="12" spans="1:7" ht="21" customHeight="1" x14ac:dyDescent="0.25">
      <c r="A12" s="2" t="s">
        <v>34</v>
      </c>
      <c r="B12" s="3" t="s">
        <v>22</v>
      </c>
      <c r="C12" s="4" t="s">
        <v>35</v>
      </c>
      <c r="D12" s="5" t="s">
        <v>10</v>
      </c>
      <c r="E12" s="5" t="s">
        <v>10</v>
      </c>
      <c r="F12" s="5" t="s">
        <v>10</v>
      </c>
      <c r="G12" s="5" t="s">
        <v>10</v>
      </c>
    </row>
    <row r="13" spans="1:7" ht="21" customHeight="1" x14ac:dyDescent="0.25">
      <c r="A13" s="2" t="s">
        <v>36</v>
      </c>
      <c r="B13" s="3" t="s">
        <v>22</v>
      </c>
      <c r="C13" s="4" t="s">
        <v>37</v>
      </c>
      <c r="D13" s="5" t="s">
        <v>10</v>
      </c>
      <c r="E13" s="5" t="s">
        <v>10</v>
      </c>
      <c r="F13" s="5" t="s">
        <v>10</v>
      </c>
      <c r="G13" s="5" t="s">
        <v>10</v>
      </c>
    </row>
    <row r="14" spans="1:7" ht="21" customHeight="1" x14ac:dyDescent="0.25">
      <c r="A14" s="2" t="s">
        <v>38</v>
      </c>
      <c r="B14" s="3" t="s">
        <v>39</v>
      </c>
      <c r="C14" s="4" t="s">
        <v>40</v>
      </c>
      <c r="D14" s="5" t="s">
        <v>14</v>
      </c>
      <c r="E14" s="5" t="s">
        <v>14</v>
      </c>
      <c r="F14" s="5" t="s">
        <v>14</v>
      </c>
      <c r="G14" s="5" t="s">
        <v>14</v>
      </c>
    </row>
    <row r="15" spans="1:7" ht="46.5" customHeight="1" x14ac:dyDescent="0.25">
      <c r="A15" s="2" t="s">
        <v>41</v>
      </c>
      <c r="B15" s="3" t="s">
        <v>42</v>
      </c>
      <c r="C15" s="4" t="s">
        <v>43</v>
      </c>
      <c r="D15" s="5" t="s">
        <v>14</v>
      </c>
      <c r="E15" s="5" t="s">
        <v>14</v>
      </c>
      <c r="F15" s="5" t="s">
        <v>14</v>
      </c>
      <c r="G15" s="5" t="s">
        <v>14</v>
      </c>
    </row>
    <row r="16" spans="1:7" ht="33" customHeight="1" x14ac:dyDescent="0.25">
      <c r="A16" s="2" t="s">
        <v>44</v>
      </c>
      <c r="B16" s="3" t="s">
        <v>45</v>
      </c>
      <c r="C16" s="4" t="s">
        <v>46</v>
      </c>
      <c r="D16" s="5" t="s">
        <v>14</v>
      </c>
      <c r="E16" s="5" t="s">
        <v>10</v>
      </c>
      <c r="F16" s="5" t="s">
        <v>14</v>
      </c>
      <c r="G16" s="5" t="s">
        <v>14</v>
      </c>
    </row>
    <row r="17" spans="1:7" ht="46.5" customHeight="1" x14ac:dyDescent="0.25">
      <c r="A17" s="2" t="s">
        <v>47</v>
      </c>
      <c r="B17" s="3" t="s">
        <v>48</v>
      </c>
      <c r="C17" s="4" t="s">
        <v>49</v>
      </c>
      <c r="D17" s="5" t="s">
        <v>14</v>
      </c>
      <c r="E17" s="5" t="s">
        <v>14</v>
      </c>
      <c r="F17" s="5" t="s">
        <v>14</v>
      </c>
      <c r="G17" s="5" t="s">
        <v>14</v>
      </c>
    </row>
    <row r="18" spans="1:7" ht="46.5" customHeight="1" x14ac:dyDescent="0.25">
      <c r="A18" s="2" t="s">
        <v>50</v>
      </c>
      <c r="B18" s="3" t="s">
        <v>51</v>
      </c>
      <c r="C18" s="4" t="s">
        <v>52</v>
      </c>
      <c r="D18" s="5" t="s">
        <v>14</v>
      </c>
      <c r="E18" s="5" t="s">
        <v>14</v>
      </c>
      <c r="F18" s="5" t="s">
        <v>14</v>
      </c>
      <c r="G18" s="5" t="s">
        <v>14</v>
      </c>
    </row>
    <row r="19" spans="1:7" ht="33" customHeight="1" x14ac:dyDescent="0.25">
      <c r="A19" s="2" t="s">
        <v>53</v>
      </c>
      <c r="B19" s="3" t="s">
        <v>54</v>
      </c>
      <c r="C19" s="4" t="s">
        <v>55</v>
      </c>
      <c r="D19" s="5" t="s">
        <v>14</v>
      </c>
      <c r="E19" s="5" t="s">
        <v>56</v>
      </c>
      <c r="F19" s="5" t="s">
        <v>14</v>
      </c>
      <c r="G19" s="5" t="s">
        <v>14</v>
      </c>
    </row>
    <row r="20" spans="1:7" ht="33" customHeight="1" x14ac:dyDescent="0.25">
      <c r="A20" s="2" t="s">
        <v>57</v>
      </c>
      <c r="B20" s="3" t="s">
        <v>58</v>
      </c>
      <c r="C20" s="4" t="s">
        <v>59</v>
      </c>
      <c r="D20" s="5" t="s">
        <v>14</v>
      </c>
      <c r="E20" s="5" t="s">
        <v>10</v>
      </c>
      <c r="F20" s="5" t="s">
        <v>14</v>
      </c>
      <c r="G20" s="5" t="s">
        <v>14</v>
      </c>
    </row>
    <row r="21" spans="1:7" ht="46.5" customHeight="1" x14ac:dyDescent="0.25">
      <c r="A21" s="2" t="s">
        <v>60</v>
      </c>
      <c r="B21" s="3" t="s">
        <v>61</v>
      </c>
      <c r="C21" s="4" t="s">
        <v>62</v>
      </c>
      <c r="D21" s="5" t="s">
        <v>14</v>
      </c>
      <c r="E21" s="5" t="s">
        <v>10</v>
      </c>
      <c r="F21" s="5" t="s">
        <v>14</v>
      </c>
      <c r="G21" s="5" t="s">
        <v>14</v>
      </c>
    </row>
    <row r="22" spans="1:7" ht="33" customHeight="1" x14ac:dyDescent="0.25">
      <c r="A22" s="2" t="s">
        <v>63</v>
      </c>
      <c r="B22" s="3" t="s">
        <v>64</v>
      </c>
      <c r="C22" s="4" t="s">
        <v>65</v>
      </c>
      <c r="D22" s="5" t="s">
        <v>14</v>
      </c>
      <c r="E22" s="5" t="s">
        <v>14</v>
      </c>
      <c r="F22" s="5" t="s">
        <v>14</v>
      </c>
      <c r="G22" s="5" t="s">
        <v>14</v>
      </c>
    </row>
    <row r="23" spans="1:7" ht="6" customHeight="1" x14ac:dyDescent="0.25">
      <c r="A23" s="6"/>
      <c r="B23" s="7"/>
      <c r="C23" s="7"/>
      <c r="D23" s="6"/>
      <c r="E23" s="6"/>
      <c r="F23" s="6"/>
      <c r="G23" s="6"/>
    </row>
    <row r="24" spans="1:7" ht="21" customHeight="1" x14ac:dyDescent="0.25">
      <c r="A24" s="2" t="s">
        <v>66</v>
      </c>
      <c r="B24" s="3" t="s">
        <v>30</v>
      </c>
      <c r="C24" s="4" t="s">
        <v>67</v>
      </c>
      <c r="D24" s="5" t="s">
        <v>10</v>
      </c>
      <c r="E24" s="5" t="s">
        <v>10</v>
      </c>
      <c r="F24" s="5" t="s">
        <v>10</v>
      </c>
      <c r="G24" s="5" t="s">
        <v>10</v>
      </c>
    </row>
    <row r="25" spans="1:7" ht="21" customHeight="1" x14ac:dyDescent="0.25">
      <c r="A25" s="2" t="s">
        <v>68</v>
      </c>
      <c r="B25" s="3" t="s">
        <v>25</v>
      </c>
      <c r="C25" s="4" t="s">
        <v>69</v>
      </c>
      <c r="D25" s="5" t="s">
        <v>10</v>
      </c>
      <c r="E25" s="5" t="s">
        <v>10</v>
      </c>
      <c r="F25" s="5" t="s">
        <v>10</v>
      </c>
      <c r="G25" s="5" t="s">
        <v>10</v>
      </c>
    </row>
    <row r="26" spans="1:7" ht="21" customHeight="1" x14ac:dyDescent="0.25">
      <c r="A26" s="2" t="s">
        <v>70</v>
      </c>
      <c r="B26" s="3" t="s">
        <v>30</v>
      </c>
      <c r="C26" s="4" t="s">
        <v>71</v>
      </c>
      <c r="D26" s="5" t="s">
        <v>10</v>
      </c>
      <c r="E26" s="5" t="s">
        <v>10</v>
      </c>
      <c r="F26" s="5" t="s">
        <v>10</v>
      </c>
      <c r="G26" s="5" t="s">
        <v>10</v>
      </c>
    </row>
    <row r="27" spans="1:7" ht="21" customHeight="1" x14ac:dyDescent="0.25">
      <c r="A27" s="2" t="s">
        <v>72</v>
      </c>
      <c r="B27" s="3" t="s">
        <v>73</v>
      </c>
      <c r="C27" s="4" t="s">
        <v>74</v>
      </c>
      <c r="D27" s="5" t="s">
        <v>10</v>
      </c>
      <c r="E27" s="5" t="s">
        <v>10</v>
      </c>
      <c r="F27" s="5" t="s">
        <v>10</v>
      </c>
      <c r="G27" s="5" t="s">
        <v>10</v>
      </c>
    </row>
    <row r="28" spans="1:7" ht="21" customHeight="1" x14ac:dyDescent="0.25">
      <c r="A28" s="2" t="s">
        <v>75</v>
      </c>
      <c r="B28" s="3" t="s">
        <v>25</v>
      </c>
      <c r="C28" s="4" t="s">
        <v>76</v>
      </c>
      <c r="D28" s="5" t="s">
        <v>10</v>
      </c>
      <c r="E28" s="5" t="s">
        <v>10</v>
      </c>
      <c r="F28" s="5" t="s">
        <v>10</v>
      </c>
      <c r="G28" s="5" t="s">
        <v>10</v>
      </c>
    </row>
    <row r="29" spans="1:7" ht="21" customHeight="1" x14ac:dyDescent="0.25">
      <c r="A29" s="2" t="s">
        <v>77</v>
      </c>
      <c r="B29" s="3" t="s">
        <v>78</v>
      </c>
      <c r="C29" s="4" t="s">
        <v>79</v>
      </c>
      <c r="D29" s="5" t="s">
        <v>14</v>
      </c>
      <c r="E29" s="5" t="s">
        <v>14</v>
      </c>
      <c r="F29" s="5" t="s">
        <v>14</v>
      </c>
      <c r="G29" s="5" t="s">
        <v>14</v>
      </c>
    </row>
    <row r="30" spans="1:7" ht="21" customHeight="1" x14ac:dyDescent="0.25">
      <c r="A30" s="2" t="s">
        <v>80</v>
      </c>
      <c r="B30" s="3" t="s">
        <v>81</v>
      </c>
      <c r="C30" s="4" t="s">
        <v>82</v>
      </c>
      <c r="D30" s="5" t="s">
        <v>14</v>
      </c>
      <c r="E30" s="5" t="s">
        <v>14</v>
      </c>
      <c r="F30" s="5" t="s">
        <v>14</v>
      </c>
      <c r="G30" s="5" t="s">
        <v>14</v>
      </c>
    </row>
    <row r="31" spans="1:7" ht="21" customHeight="1" x14ac:dyDescent="0.25">
      <c r="A31" s="2" t="s">
        <v>83</v>
      </c>
      <c r="B31" s="3" t="s">
        <v>84</v>
      </c>
      <c r="C31" s="4" t="s">
        <v>85</v>
      </c>
      <c r="D31" s="5" t="s">
        <v>14</v>
      </c>
      <c r="E31" s="5" t="s">
        <v>14</v>
      </c>
      <c r="F31" s="5" t="s">
        <v>56</v>
      </c>
      <c r="G31" s="5" t="s">
        <v>14</v>
      </c>
    </row>
    <row r="32" spans="1:7" ht="21" customHeight="1" x14ac:dyDescent="0.25">
      <c r="A32" s="2" t="s">
        <v>86</v>
      </c>
      <c r="B32" s="3" t="s">
        <v>87</v>
      </c>
      <c r="C32" s="4" t="s">
        <v>88</v>
      </c>
      <c r="D32" s="5" t="s">
        <v>14</v>
      </c>
      <c r="E32" s="5" t="s">
        <v>14</v>
      </c>
      <c r="F32" s="5" t="s">
        <v>14</v>
      </c>
      <c r="G32" s="5" t="s">
        <v>14</v>
      </c>
    </row>
    <row r="33" spans="1:7" ht="21" customHeight="1" x14ac:dyDescent="0.25">
      <c r="A33" s="2" t="s">
        <v>89</v>
      </c>
      <c r="B33" s="3" t="s">
        <v>90</v>
      </c>
      <c r="C33" s="4" t="s">
        <v>91</v>
      </c>
      <c r="D33" s="5" t="s">
        <v>14</v>
      </c>
      <c r="E33" s="5" t="s">
        <v>14</v>
      </c>
      <c r="F33" s="5" t="s">
        <v>14</v>
      </c>
      <c r="G33" s="5" t="s">
        <v>14</v>
      </c>
    </row>
    <row r="34" spans="1:7" ht="6" customHeight="1" x14ac:dyDescent="0.25">
      <c r="A34" s="6"/>
      <c r="B34" s="7"/>
      <c r="C34" s="7"/>
      <c r="D34" s="6"/>
      <c r="E34" s="6"/>
      <c r="F34" s="6"/>
      <c r="G34" s="6"/>
    </row>
    <row r="35" spans="1:7" ht="21" customHeight="1" x14ac:dyDescent="0.25">
      <c r="A35" s="2" t="s">
        <v>92</v>
      </c>
      <c r="B35" s="3" t="s">
        <v>93</v>
      </c>
      <c r="C35" s="4" t="s">
        <v>94</v>
      </c>
      <c r="D35" s="5" t="s">
        <v>10</v>
      </c>
      <c r="E35" s="5" t="s">
        <v>10</v>
      </c>
      <c r="F35" s="5" t="s">
        <v>10</v>
      </c>
      <c r="G35" s="5" t="s">
        <v>10</v>
      </c>
    </row>
    <row r="36" spans="1:7" ht="21" customHeight="1" x14ac:dyDescent="0.25">
      <c r="A36" s="2" t="s">
        <v>95</v>
      </c>
      <c r="B36" s="3" t="s">
        <v>93</v>
      </c>
      <c r="C36" s="4" t="s">
        <v>96</v>
      </c>
      <c r="D36" s="5" t="s">
        <v>10</v>
      </c>
      <c r="E36" s="5" t="s">
        <v>10</v>
      </c>
      <c r="F36" s="5" t="s">
        <v>10</v>
      </c>
      <c r="G36" s="5" t="s">
        <v>10</v>
      </c>
    </row>
    <row r="37" spans="1:7" ht="21" customHeight="1" x14ac:dyDescent="0.25">
      <c r="A37" s="2" t="s">
        <v>97</v>
      </c>
      <c r="B37" s="3" t="s">
        <v>30</v>
      </c>
      <c r="C37" s="4" t="s">
        <v>98</v>
      </c>
      <c r="D37" s="5" t="s">
        <v>10</v>
      </c>
      <c r="E37" s="5" t="s">
        <v>10</v>
      </c>
      <c r="F37" s="5" t="s">
        <v>10</v>
      </c>
      <c r="G37" s="5" t="s">
        <v>10</v>
      </c>
    </row>
    <row r="38" spans="1:7" ht="21" customHeight="1" x14ac:dyDescent="0.25">
      <c r="A38" s="2" t="s">
        <v>99</v>
      </c>
      <c r="B38" s="3" t="s">
        <v>30</v>
      </c>
      <c r="C38" s="4" t="s">
        <v>100</v>
      </c>
      <c r="D38" s="5" t="s">
        <v>10</v>
      </c>
      <c r="E38" s="5" t="s">
        <v>10</v>
      </c>
      <c r="F38" s="5" t="s">
        <v>10</v>
      </c>
      <c r="G38" s="5" t="s">
        <v>10</v>
      </c>
    </row>
    <row r="39" spans="1:7" ht="21" customHeight="1" x14ac:dyDescent="0.25">
      <c r="A39" s="2" t="s">
        <v>101</v>
      </c>
      <c r="B39" s="3" t="s">
        <v>102</v>
      </c>
      <c r="C39" s="4" t="s">
        <v>103</v>
      </c>
      <c r="D39" s="5" t="s">
        <v>10</v>
      </c>
      <c r="E39" s="5" t="s">
        <v>10</v>
      </c>
      <c r="F39" s="5" t="s">
        <v>10</v>
      </c>
      <c r="G39" s="5" t="s">
        <v>10</v>
      </c>
    </row>
    <row r="40" spans="1:7" ht="21" customHeight="1" x14ac:dyDescent="0.25">
      <c r="A40" s="2" t="s">
        <v>104</v>
      </c>
      <c r="B40" s="3" t="s">
        <v>102</v>
      </c>
      <c r="C40" s="4" t="s">
        <v>105</v>
      </c>
      <c r="D40" s="5" t="s">
        <v>10</v>
      </c>
      <c r="E40" s="5" t="s">
        <v>10</v>
      </c>
      <c r="F40" s="5" t="s">
        <v>10</v>
      </c>
      <c r="G40" s="5" t="s">
        <v>10</v>
      </c>
    </row>
    <row r="41" spans="1:7" ht="21" customHeight="1" x14ac:dyDescent="0.25">
      <c r="A41" s="2" t="s">
        <v>106</v>
      </c>
      <c r="B41" s="3" t="s">
        <v>107</v>
      </c>
      <c r="C41" s="4" t="s">
        <v>108</v>
      </c>
      <c r="D41" s="5" t="s">
        <v>10</v>
      </c>
      <c r="E41" s="5" t="s">
        <v>10</v>
      </c>
      <c r="F41" s="5" t="s">
        <v>10</v>
      </c>
      <c r="G41" s="5" t="s">
        <v>10</v>
      </c>
    </row>
    <row r="42" spans="1:7" ht="21" customHeight="1" x14ac:dyDescent="0.25">
      <c r="A42" s="2" t="s">
        <v>109</v>
      </c>
      <c r="B42" s="3" t="s">
        <v>110</v>
      </c>
      <c r="C42" s="4" t="s">
        <v>111</v>
      </c>
      <c r="D42" s="5" t="s">
        <v>10</v>
      </c>
      <c r="E42" s="5" t="s">
        <v>10</v>
      </c>
      <c r="F42" s="5" t="s">
        <v>10</v>
      </c>
      <c r="G42" s="5" t="s">
        <v>10</v>
      </c>
    </row>
    <row r="43" spans="1:7" ht="21" customHeight="1" x14ac:dyDescent="0.25">
      <c r="A43" s="2" t="s">
        <v>112</v>
      </c>
      <c r="B43" s="3" t="s">
        <v>102</v>
      </c>
      <c r="C43" s="4" t="s">
        <v>113</v>
      </c>
      <c r="D43" s="5" t="s">
        <v>10</v>
      </c>
      <c r="E43" s="5" t="s">
        <v>10</v>
      </c>
      <c r="F43" s="5" t="s">
        <v>10</v>
      </c>
      <c r="G43" s="5" t="s">
        <v>10</v>
      </c>
    </row>
    <row r="44" spans="1:7" ht="21" customHeight="1" x14ac:dyDescent="0.25">
      <c r="A44" s="2" t="s">
        <v>114</v>
      </c>
      <c r="B44" s="3" t="s">
        <v>30</v>
      </c>
      <c r="C44" s="4" t="s">
        <v>115</v>
      </c>
      <c r="D44" s="5" t="s">
        <v>10</v>
      </c>
      <c r="E44" s="5" t="s">
        <v>10</v>
      </c>
      <c r="F44" s="5" t="s">
        <v>10</v>
      </c>
      <c r="G44" s="5" t="s">
        <v>10</v>
      </c>
    </row>
    <row r="45" spans="1:7" ht="21" customHeight="1" x14ac:dyDescent="0.25">
      <c r="A45" s="2" t="s">
        <v>116</v>
      </c>
      <c r="B45" s="3" t="s">
        <v>25</v>
      </c>
      <c r="C45" s="4" t="s">
        <v>117</v>
      </c>
      <c r="D45" s="5" t="s">
        <v>10</v>
      </c>
      <c r="E45" s="5" t="s">
        <v>10</v>
      </c>
      <c r="F45" s="5" t="s">
        <v>10</v>
      </c>
      <c r="G45" s="5" t="s">
        <v>10</v>
      </c>
    </row>
    <row r="46" spans="1:7" ht="21" customHeight="1" x14ac:dyDescent="0.25">
      <c r="A46" s="2" t="s">
        <v>118</v>
      </c>
      <c r="B46" s="3" t="s">
        <v>110</v>
      </c>
      <c r="C46" s="4" t="s">
        <v>119</v>
      </c>
      <c r="D46" s="5" t="s">
        <v>10</v>
      </c>
      <c r="E46" s="5" t="s">
        <v>10</v>
      </c>
      <c r="F46" s="5" t="s">
        <v>10</v>
      </c>
      <c r="G46" s="5" t="s">
        <v>10</v>
      </c>
    </row>
    <row r="47" spans="1:7" ht="21" customHeight="1" x14ac:dyDescent="0.25">
      <c r="A47" s="2" t="s">
        <v>120</v>
      </c>
      <c r="B47" s="3" t="s">
        <v>121</v>
      </c>
      <c r="C47" s="4" t="s">
        <v>122</v>
      </c>
      <c r="D47" s="5" t="s">
        <v>10</v>
      </c>
      <c r="E47" s="5" t="s">
        <v>10</v>
      </c>
      <c r="F47" s="5" t="s">
        <v>10</v>
      </c>
      <c r="G47" s="5" t="s">
        <v>10</v>
      </c>
    </row>
    <row r="48" spans="1:7" ht="21" customHeight="1" x14ac:dyDescent="0.25">
      <c r="A48" s="2" t="s">
        <v>123</v>
      </c>
      <c r="B48" s="3" t="s">
        <v>30</v>
      </c>
      <c r="C48" s="4" t="s">
        <v>124</v>
      </c>
      <c r="D48" s="5" t="s">
        <v>10</v>
      </c>
      <c r="E48" s="5" t="s">
        <v>10</v>
      </c>
      <c r="F48" s="5" t="s">
        <v>10</v>
      </c>
      <c r="G48" s="5" t="s">
        <v>10</v>
      </c>
    </row>
    <row r="49" spans="1:7" ht="21" customHeight="1" x14ac:dyDescent="0.25">
      <c r="A49" s="2" t="s">
        <v>125</v>
      </c>
      <c r="B49" s="3" t="s">
        <v>25</v>
      </c>
      <c r="C49" s="4" t="s">
        <v>126</v>
      </c>
      <c r="D49" s="5" t="s">
        <v>10</v>
      </c>
      <c r="E49" s="5" t="s">
        <v>10</v>
      </c>
      <c r="F49" s="5" t="s">
        <v>10</v>
      </c>
      <c r="G49" s="5" t="s">
        <v>10</v>
      </c>
    </row>
    <row r="50" spans="1:7" ht="21" customHeight="1" x14ac:dyDescent="0.25">
      <c r="A50" s="2" t="s">
        <v>127</v>
      </c>
      <c r="B50" s="3" t="s">
        <v>25</v>
      </c>
      <c r="C50" s="4" t="s">
        <v>128</v>
      </c>
      <c r="D50" s="5" t="s">
        <v>10</v>
      </c>
      <c r="E50" s="5" t="s">
        <v>10</v>
      </c>
      <c r="F50" s="5" t="s">
        <v>10</v>
      </c>
      <c r="G50" s="5" t="s">
        <v>10</v>
      </c>
    </row>
    <row r="51" spans="1:7" ht="21" customHeight="1" x14ac:dyDescent="0.25">
      <c r="A51" s="2" t="s">
        <v>129</v>
      </c>
      <c r="B51" s="3" t="s">
        <v>30</v>
      </c>
      <c r="C51" s="4" t="s">
        <v>130</v>
      </c>
      <c r="D51" s="5" t="s">
        <v>10</v>
      </c>
      <c r="E51" s="5" t="s">
        <v>10</v>
      </c>
      <c r="F51" s="5" t="s">
        <v>10</v>
      </c>
      <c r="G51" s="5" t="s">
        <v>10</v>
      </c>
    </row>
    <row r="52" spans="1:7" ht="21" customHeight="1" x14ac:dyDescent="0.25">
      <c r="A52" s="2" t="s">
        <v>131</v>
      </c>
      <c r="B52" s="3" t="s">
        <v>25</v>
      </c>
      <c r="C52" s="4" t="s">
        <v>132</v>
      </c>
      <c r="D52" s="5" t="s">
        <v>10</v>
      </c>
      <c r="E52" s="5" t="s">
        <v>10</v>
      </c>
      <c r="F52" s="5" t="s">
        <v>10</v>
      </c>
      <c r="G52" s="5" t="s">
        <v>10</v>
      </c>
    </row>
    <row r="53" spans="1:7" ht="21" customHeight="1" x14ac:dyDescent="0.25">
      <c r="A53" s="2" t="s">
        <v>133</v>
      </c>
      <c r="B53" s="3" t="s">
        <v>25</v>
      </c>
      <c r="C53" s="4" t="s">
        <v>134</v>
      </c>
      <c r="D53" s="5" t="s">
        <v>10</v>
      </c>
      <c r="E53" s="5" t="s">
        <v>10</v>
      </c>
      <c r="F53" s="5" t="s">
        <v>10</v>
      </c>
      <c r="G53" s="5" t="s">
        <v>10</v>
      </c>
    </row>
    <row r="54" spans="1:7" ht="21" customHeight="1" x14ac:dyDescent="0.25">
      <c r="A54" s="2" t="s">
        <v>135</v>
      </c>
      <c r="B54" s="3" t="s">
        <v>25</v>
      </c>
      <c r="C54" s="4" t="s">
        <v>136</v>
      </c>
      <c r="D54" s="5" t="s">
        <v>10</v>
      </c>
      <c r="E54" s="5" t="s">
        <v>10</v>
      </c>
      <c r="F54" s="5" t="s">
        <v>14</v>
      </c>
      <c r="G54" s="5" t="s">
        <v>10</v>
      </c>
    </row>
    <row r="55" spans="1:7" ht="21" customHeight="1" x14ac:dyDescent="0.25">
      <c r="A55" s="2" t="s">
        <v>137</v>
      </c>
      <c r="B55" s="3" t="s">
        <v>30</v>
      </c>
      <c r="C55" s="4" t="s">
        <v>138</v>
      </c>
      <c r="D55" s="5" t="s">
        <v>10</v>
      </c>
      <c r="E55" s="5" t="s">
        <v>10</v>
      </c>
      <c r="F55" s="5" t="s">
        <v>10</v>
      </c>
      <c r="G55" s="5" t="s">
        <v>10</v>
      </c>
    </row>
    <row r="56" spans="1:7" ht="21" customHeight="1" x14ac:dyDescent="0.25">
      <c r="A56" s="2" t="s">
        <v>139</v>
      </c>
      <c r="B56" s="3" t="s">
        <v>140</v>
      </c>
      <c r="C56" s="4" t="s">
        <v>141</v>
      </c>
      <c r="D56" s="5" t="s">
        <v>10</v>
      </c>
      <c r="E56" s="5" t="s">
        <v>10</v>
      </c>
      <c r="F56" s="5" t="s">
        <v>10</v>
      </c>
      <c r="G56" s="5" t="s">
        <v>10</v>
      </c>
    </row>
    <row r="57" spans="1:7" ht="21" customHeight="1" x14ac:dyDescent="0.25">
      <c r="A57" s="2" t="s">
        <v>142</v>
      </c>
      <c r="B57" s="3" t="s">
        <v>30</v>
      </c>
      <c r="C57" s="4" t="s">
        <v>143</v>
      </c>
      <c r="D57" s="5" t="s">
        <v>10</v>
      </c>
      <c r="E57" s="5" t="s">
        <v>10</v>
      </c>
      <c r="F57" s="5" t="s">
        <v>10</v>
      </c>
      <c r="G57" s="5" t="s">
        <v>10</v>
      </c>
    </row>
    <row r="58" spans="1:7" ht="21" customHeight="1" x14ac:dyDescent="0.25">
      <c r="A58" s="2" t="s">
        <v>144</v>
      </c>
      <c r="B58" s="3" t="s">
        <v>25</v>
      </c>
      <c r="C58" s="4" t="s">
        <v>145</v>
      </c>
      <c r="D58" s="5" t="s">
        <v>10</v>
      </c>
      <c r="E58" s="5" t="s">
        <v>10</v>
      </c>
      <c r="F58" s="5" t="s">
        <v>10</v>
      </c>
      <c r="G58" s="5" t="s">
        <v>10</v>
      </c>
    </row>
    <row r="59" spans="1:7" ht="21" customHeight="1" x14ac:dyDescent="0.25">
      <c r="A59" s="2" t="s">
        <v>146</v>
      </c>
      <c r="B59" s="3" t="s">
        <v>30</v>
      </c>
      <c r="C59" s="4" t="s">
        <v>147</v>
      </c>
      <c r="D59" s="5" t="s">
        <v>10</v>
      </c>
      <c r="E59" s="5" t="s">
        <v>10</v>
      </c>
      <c r="F59" s="5" t="s">
        <v>10</v>
      </c>
      <c r="G59" s="5" t="s">
        <v>10</v>
      </c>
    </row>
    <row r="60" spans="1:7" ht="21" customHeight="1" x14ac:dyDescent="0.25">
      <c r="A60" s="2" t="s">
        <v>148</v>
      </c>
      <c r="B60" s="3" t="s">
        <v>149</v>
      </c>
      <c r="C60" s="4" t="s">
        <v>150</v>
      </c>
      <c r="D60" s="5" t="s">
        <v>14</v>
      </c>
      <c r="E60" s="5" t="s">
        <v>14</v>
      </c>
      <c r="F60" s="5" t="s">
        <v>14</v>
      </c>
      <c r="G60" s="5" t="s">
        <v>14</v>
      </c>
    </row>
    <row r="61" spans="1:7" ht="21" customHeight="1" x14ac:dyDescent="0.25">
      <c r="A61" s="2" t="s">
        <v>151</v>
      </c>
      <c r="B61" s="3" t="s">
        <v>152</v>
      </c>
      <c r="C61" s="4" t="s">
        <v>153</v>
      </c>
      <c r="D61" s="5" t="s">
        <v>14</v>
      </c>
      <c r="E61" s="5" t="s">
        <v>14</v>
      </c>
      <c r="F61" s="5" t="s">
        <v>10</v>
      </c>
      <c r="G61" s="5" t="s">
        <v>14</v>
      </c>
    </row>
    <row r="62" spans="1:7" ht="21" customHeight="1" x14ac:dyDescent="0.25">
      <c r="A62" s="2" t="s">
        <v>154</v>
      </c>
      <c r="B62" s="3" t="s">
        <v>155</v>
      </c>
      <c r="C62" s="4" t="s">
        <v>156</v>
      </c>
      <c r="D62" s="5" t="s">
        <v>14</v>
      </c>
      <c r="E62" s="5" t="s">
        <v>10</v>
      </c>
      <c r="F62" s="5" t="s">
        <v>14</v>
      </c>
      <c r="G62" s="5" t="s">
        <v>10</v>
      </c>
    </row>
    <row r="63" spans="1:7" ht="21" customHeight="1" x14ac:dyDescent="0.25">
      <c r="A63" s="2" t="s">
        <v>157</v>
      </c>
      <c r="B63" s="3" t="s">
        <v>158</v>
      </c>
      <c r="C63" s="4" t="s">
        <v>159</v>
      </c>
      <c r="D63" s="5" t="s">
        <v>14</v>
      </c>
      <c r="E63" s="5" t="s">
        <v>14</v>
      </c>
      <c r="F63" s="5" t="s">
        <v>14</v>
      </c>
      <c r="G63" s="5" t="s">
        <v>14</v>
      </c>
    </row>
    <row r="64" spans="1:7" ht="21" customHeight="1" x14ac:dyDescent="0.25">
      <c r="A64" s="2" t="s">
        <v>160</v>
      </c>
      <c r="B64" s="3" t="s">
        <v>161</v>
      </c>
      <c r="C64" s="4" t="s">
        <v>162</v>
      </c>
      <c r="D64" s="5" t="s">
        <v>14</v>
      </c>
      <c r="E64" s="5" t="s">
        <v>14</v>
      </c>
      <c r="F64" s="5" t="s">
        <v>56</v>
      </c>
      <c r="G64" s="5" t="s">
        <v>14</v>
      </c>
    </row>
    <row r="65" spans="1:7" ht="21" customHeight="1" x14ac:dyDescent="0.25">
      <c r="A65" s="2" t="s">
        <v>163</v>
      </c>
      <c r="B65" s="3" t="s">
        <v>164</v>
      </c>
      <c r="C65" s="4" t="s">
        <v>165</v>
      </c>
      <c r="D65" s="5" t="s">
        <v>14</v>
      </c>
      <c r="E65" s="5" t="s">
        <v>14</v>
      </c>
      <c r="F65" s="5" t="s">
        <v>14</v>
      </c>
      <c r="G65" s="5" t="s">
        <v>14</v>
      </c>
    </row>
    <row r="66" spans="1:7" ht="21" customHeight="1" x14ac:dyDescent="0.25">
      <c r="A66" s="2" t="s">
        <v>166</v>
      </c>
      <c r="B66" s="3" t="s">
        <v>167</v>
      </c>
      <c r="C66" s="4" t="s">
        <v>168</v>
      </c>
      <c r="D66" s="5" t="s">
        <v>14</v>
      </c>
      <c r="E66" s="5" t="s">
        <v>14</v>
      </c>
      <c r="F66" s="5" t="s">
        <v>14</v>
      </c>
      <c r="G66" s="5" t="s">
        <v>14</v>
      </c>
    </row>
    <row r="67" spans="1:7" ht="21" customHeight="1" x14ac:dyDescent="0.25">
      <c r="A67" s="2" t="s">
        <v>169</v>
      </c>
      <c r="B67" s="3" t="s">
        <v>170</v>
      </c>
      <c r="C67" s="4" t="s">
        <v>171</v>
      </c>
      <c r="D67" s="5" t="s">
        <v>14</v>
      </c>
      <c r="E67" s="5" t="s">
        <v>14</v>
      </c>
      <c r="F67" s="5" t="s">
        <v>14</v>
      </c>
      <c r="G67" s="5" t="s">
        <v>14</v>
      </c>
    </row>
    <row r="68" spans="1:7" ht="21" customHeight="1" x14ac:dyDescent="0.25">
      <c r="A68" s="2" t="s">
        <v>172</v>
      </c>
      <c r="B68" s="3" t="s">
        <v>173</v>
      </c>
      <c r="C68" s="4" t="s">
        <v>174</v>
      </c>
      <c r="D68" s="5" t="s">
        <v>14</v>
      </c>
      <c r="E68" s="5" t="s">
        <v>14</v>
      </c>
      <c r="F68" s="5" t="s">
        <v>14</v>
      </c>
      <c r="G68" s="5" t="s">
        <v>14</v>
      </c>
    </row>
    <row r="69" spans="1:7" ht="33" customHeight="1" x14ac:dyDescent="0.25">
      <c r="A69" s="2" t="s">
        <v>175</v>
      </c>
      <c r="B69" s="3" t="s">
        <v>176</v>
      </c>
      <c r="C69" s="4" t="s">
        <v>177</v>
      </c>
      <c r="D69" s="5" t="s">
        <v>14</v>
      </c>
      <c r="E69" s="5" t="s">
        <v>14</v>
      </c>
      <c r="F69" s="5" t="s">
        <v>14</v>
      </c>
      <c r="G69" s="5" t="s">
        <v>14</v>
      </c>
    </row>
    <row r="70" spans="1:7" ht="21" customHeight="1" x14ac:dyDescent="0.25">
      <c r="A70" s="2" t="s">
        <v>178</v>
      </c>
      <c r="B70" s="3" t="s">
        <v>179</v>
      </c>
      <c r="C70" s="4" t="s">
        <v>180</v>
      </c>
      <c r="D70" s="5" t="s">
        <v>14</v>
      </c>
      <c r="E70" s="5" t="s">
        <v>14</v>
      </c>
      <c r="F70" s="5" t="s">
        <v>14</v>
      </c>
      <c r="G70" s="5" t="s">
        <v>14</v>
      </c>
    </row>
    <row r="71" spans="1:7" ht="21" customHeight="1" x14ac:dyDescent="0.25">
      <c r="A71" s="2" t="s">
        <v>181</v>
      </c>
      <c r="B71" s="3" t="s">
        <v>182</v>
      </c>
      <c r="C71" s="4" t="s">
        <v>183</v>
      </c>
      <c r="D71" s="5" t="s">
        <v>14</v>
      </c>
      <c r="E71" s="5" t="s">
        <v>14</v>
      </c>
      <c r="F71" s="5" t="s">
        <v>14</v>
      </c>
      <c r="G71" s="5" t="s">
        <v>14</v>
      </c>
    </row>
    <row r="72" spans="1:7" ht="21" customHeight="1" x14ac:dyDescent="0.25">
      <c r="A72" s="2" t="s">
        <v>184</v>
      </c>
      <c r="B72" s="3" t="s">
        <v>185</v>
      </c>
      <c r="C72" s="4" t="s">
        <v>186</v>
      </c>
      <c r="D72" s="5" t="s">
        <v>14</v>
      </c>
      <c r="E72" s="5" t="s">
        <v>14</v>
      </c>
      <c r="F72" s="5" t="s">
        <v>14</v>
      </c>
      <c r="G72" s="5" t="s">
        <v>14</v>
      </c>
    </row>
    <row r="73" spans="1:7" ht="21" customHeight="1" x14ac:dyDescent="0.25">
      <c r="A73" s="2" t="s">
        <v>187</v>
      </c>
      <c r="B73" s="3" t="s">
        <v>188</v>
      </c>
      <c r="C73" s="4" t="s">
        <v>189</v>
      </c>
      <c r="D73" s="5" t="s">
        <v>14</v>
      </c>
      <c r="E73" s="5" t="s">
        <v>14</v>
      </c>
      <c r="F73" s="5" t="s">
        <v>14</v>
      </c>
      <c r="G73" s="5" t="s">
        <v>14</v>
      </c>
    </row>
    <row r="74" spans="1:7" ht="21" customHeight="1" x14ac:dyDescent="0.25">
      <c r="A74" s="2" t="s">
        <v>190</v>
      </c>
      <c r="B74" s="3" t="s">
        <v>191</v>
      </c>
      <c r="C74" s="4" t="s">
        <v>192</v>
      </c>
      <c r="D74" s="5" t="s">
        <v>14</v>
      </c>
      <c r="E74" s="5" t="s">
        <v>14</v>
      </c>
      <c r="F74" s="5" t="s">
        <v>14</v>
      </c>
      <c r="G74" s="5" t="s">
        <v>14</v>
      </c>
    </row>
    <row r="75" spans="1:7" ht="21" customHeight="1" x14ac:dyDescent="0.25">
      <c r="A75" s="2" t="s">
        <v>193</v>
      </c>
      <c r="B75" s="3" t="s">
        <v>194</v>
      </c>
      <c r="C75" s="4" t="s">
        <v>195</v>
      </c>
      <c r="D75" s="5" t="s">
        <v>14</v>
      </c>
      <c r="E75" s="5" t="s">
        <v>14</v>
      </c>
      <c r="F75" s="5" t="s">
        <v>14</v>
      </c>
      <c r="G75" s="5" t="s">
        <v>14</v>
      </c>
    </row>
    <row r="76" spans="1:7" ht="21" customHeight="1" x14ac:dyDescent="0.25">
      <c r="A76" s="2" t="s">
        <v>196</v>
      </c>
      <c r="B76" s="3" t="s">
        <v>197</v>
      </c>
      <c r="C76" s="4" t="s">
        <v>198</v>
      </c>
      <c r="D76" s="5" t="s">
        <v>14</v>
      </c>
      <c r="E76" s="5" t="s">
        <v>14</v>
      </c>
      <c r="F76" s="5" t="s">
        <v>14</v>
      </c>
      <c r="G76" s="5" t="s">
        <v>14</v>
      </c>
    </row>
    <row r="77" spans="1:7" ht="21" customHeight="1" x14ac:dyDescent="0.25">
      <c r="A77" s="2" t="s">
        <v>199</v>
      </c>
      <c r="B77" s="3" t="s">
        <v>200</v>
      </c>
      <c r="C77" s="4" t="s">
        <v>201</v>
      </c>
      <c r="D77" s="5" t="s">
        <v>14</v>
      </c>
      <c r="E77" s="5" t="s">
        <v>14</v>
      </c>
      <c r="F77" s="5" t="s">
        <v>14</v>
      </c>
      <c r="G77" s="5" t="s">
        <v>14</v>
      </c>
    </row>
    <row r="78" spans="1:7" ht="21" customHeight="1" x14ac:dyDescent="0.25">
      <c r="A78" s="2" t="s">
        <v>202</v>
      </c>
      <c r="B78" s="3" t="s">
        <v>203</v>
      </c>
      <c r="C78" s="4" t="s">
        <v>204</v>
      </c>
      <c r="D78" s="5" t="s">
        <v>14</v>
      </c>
      <c r="E78" s="5" t="s">
        <v>14</v>
      </c>
      <c r="F78" s="5" t="s">
        <v>14</v>
      </c>
      <c r="G78" s="5" t="s">
        <v>14</v>
      </c>
    </row>
    <row r="79" spans="1:7" ht="21" customHeight="1" x14ac:dyDescent="0.25">
      <c r="A79" s="2" t="s">
        <v>205</v>
      </c>
      <c r="B79" s="3" t="s">
        <v>206</v>
      </c>
      <c r="C79" s="4" t="s">
        <v>207</v>
      </c>
      <c r="D79" s="5" t="s">
        <v>14</v>
      </c>
      <c r="E79" s="5" t="s">
        <v>10</v>
      </c>
      <c r="F79" s="5" t="s">
        <v>10</v>
      </c>
      <c r="G79" s="5" t="s">
        <v>14</v>
      </c>
    </row>
    <row r="80" spans="1:7" ht="21" customHeight="1" x14ac:dyDescent="0.25">
      <c r="A80" s="2" t="s">
        <v>208</v>
      </c>
      <c r="B80" s="3" t="s">
        <v>209</v>
      </c>
      <c r="C80" s="4" t="s">
        <v>210</v>
      </c>
      <c r="D80" s="5" t="s">
        <v>14</v>
      </c>
      <c r="E80" s="5" t="s">
        <v>10</v>
      </c>
      <c r="F80" s="5" t="s">
        <v>14</v>
      </c>
      <c r="G80" s="5" t="s">
        <v>14</v>
      </c>
    </row>
    <row r="81" spans="1:7" ht="21" customHeight="1" x14ac:dyDescent="0.25">
      <c r="A81" s="2" t="s">
        <v>211</v>
      </c>
      <c r="B81" s="3" t="s">
        <v>212</v>
      </c>
      <c r="C81" s="4" t="s">
        <v>213</v>
      </c>
      <c r="D81" s="5" t="s">
        <v>14</v>
      </c>
      <c r="E81" s="5" t="s">
        <v>10</v>
      </c>
      <c r="F81" s="5" t="s">
        <v>14</v>
      </c>
      <c r="G81" s="5" t="s">
        <v>10</v>
      </c>
    </row>
    <row r="82" spans="1:7" ht="21" customHeight="1" x14ac:dyDescent="0.25">
      <c r="A82" s="2" t="s">
        <v>214</v>
      </c>
      <c r="B82" s="3" t="s">
        <v>215</v>
      </c>
      <c r="C82" s="4" t="s">
        <v>216</v>
      </c>
      <c r="D82" s="5" t="s">
        <v>14</v>
      </c>
      <c r="E82" s="5" t="s">
        <v>10</v>
      </c>
      <c r="F82" s="5" t="s">
        <v>14</v>
      </c>
      <c r="G82" s="5" t="s">
        <v>14</v>
      </c>
    </row>
    <row r="83" spans="1:7" ht="21" customHeight="1" x14ac:dyDescent="0.25">
      <c r="A83" s="2" t="s">
        <v>217</v>
      </c>
      <c r="B83" s="3" t="s">
        <v>218</v>
      </c>
      <c r="C83" s="4" t="s">
        <v>219</v>
      </c>
      <c r="D83" s="5" t="s">
        <v>14</v>
      </c>
      <c r="E83" s="5" t="s">
        <v>10</v>
      </c>
      <c r="F83" s="5" t="s">
        <v>14</v>
      </c>
      <c r="G83" s="5" t="s">
        <v>14</v>
      </c>
    </row>
    <row r="84" spans="1:7" ht="21" customHeight="1" x14ac:dyDescent="0.25">
      <c r="A84" s="2" t="s">
        <v>220</v>
      </c>
      <c r="B84" s="3" t="s">
        <v>221</v>
      </c>
      <c r="C84" s="4" t="s">
        <v>222</v>
      </c>
      <c r="D84" s="5" t="s">
        <v>14</v>
      </c>
      <c r="E84" s="5" t="s">
        <v>14</v>
      </c>
      <c r="F84" s="5" t="s">
        <v>14</v>
      </c>
      <c r="G84" s="5" t="s">
        <v>14</v>
      </c>
    </row>
    <row r="85" spans="1:7" ht="6" customHeight="1" x14ac:dyDescent="0.25">
      <c r="A85" s="6"/>
      <c r="B85" s="7"/>
      <c r="C85" s="7"/>
      <c r="D85" s="6"/>
      <c r="E85" s="6"/>
      <c r="F85" s="6"/>
      <c r="G85" s="6"/>
    </row>
    <row r="86" spans="1:7" ht="21" customHeight="1" x14ac:dyDescent="0.25">
      <c r="A86" s="2" t="s">
        <v>223</v>
      </c>
      <c r="B86" s="3" t="s">
        <v>25</v>
      </c>
      <c r="C86" s="4" t="s">
        <v>224</v>
      </c>
      <c r="D86" s="5" t="s">
        <v>10</v>
      </c>
      <c r="E86" s="5" t="s">
        <v>10</v>
      </c>
      <c r="F86" s="5" t="s">
        <v>10</v>
      </c>
      <c r="G86" s="5" t="s">
        <v>10</v>
      </c>
    </row>
    <row r="87" spans="1:7" ht="21" customHeight="1" x14ac:dyDescent="0.25">
      <c r="A87" s="2" t="s">
        <v>225</v>
      </c>
      <c r="B87" s="3" t="s">
        <v>25</v>
      </c>
      <c r="C87" s="4" t="s">
        <v>226</v>
      </c>
      <c r="D87" s="5" t="s">
        <v>10</v>
      </c>
      <c r="E87" s="5" t="s">
        <v>10</v>
      </c>
      <c r="F87" s="5" t="s">
        <v>10</v>
      </c>
      <c r="G87" s="5" t="s">
        <v>10</v>
      </c>
    </row>
    <row r="88" spans="1:7" ht="21" customHeight="1" x14ac:dyDescent="0.25">
      <c r="A88" s="2" t="s">
        <v>227</v>
      </c>
      <c r="B88" s="3" t="s">
        <v>30</v>
      </c>
      <c r="C88" s="4" t="s">
        <v>228</v>
      </c>
      <c r="D88" s="5" t="s">
        <v>10</v>
      </c>
      <c r="E88" s="5" t="s">
        <v>10</v>
      </c>
      <c r="F88" s="5" t="s">
        <v>10</v>
      </c>
      <c r="G88" s="5" t="s">
        <v>10</v>
      </c>
    </row>
    <row r="89" spans="1:7" ht="21" customHeight="1" x14ac:dyDescent="0.25">
      <c r="A89" s="2" t="s">
        <v>229</v>
      </c>
      <c r="B89" s="3" t="s">
        <v>230</v>
      </c>
      <c r="C89" s="4" t="s">
        <v>231</v>
      </c>
      <c r="D89" s="5" t="s">
        <v>10</v>
      </c>
      <c r="E89" s="5" t="s">
        <v>10</v>
      </c>
      <c r="F89" s="5" t="s">
        <v>10</v>
      </c>
      <c r="G89" s="5" t="s">
        <v>10</v>
      </c>
    </row>
    <row r="90" spans="1:7" ht="21" customHeight="1" x14ac:dyDescent="0.25">
      <c r="A90" s="2" t="s">
        <v>232</v>
      </c>
      <c r="B90" s="3" t="s">
        <v>25</v>
      </c>
      <c r="C90" s="4" t="s">
        <v>233</v>
      </c>
      <c r="D90" s="5" t="s">
        <v>10</v>
      </c>
      <c r="E90" s="5" t="s">
        <v>10</v>
      </c>
      <c r="F90" s="5" t="s">
        <v>10</v>
      </c>
      <c r="G90" s="5" t="s">
        <v>10</v>
      </c>
    </row>
    <row r="91" spans="1:7" ht="21" customHeight="1" x14ac:dyDescent="0.25">
      <c r="A91" s="2" t="s">
        <v>234</v>
      </c>
      <c r="B91" s="3" t="s">
        <v>25</v>
      </c>
      <c r="C91" s="4" t="s">
        <v>235</v>
      </c>
      <c r="D91" s="5" t="s">
        <v>10</v>
      </c>
      <c r="E91" s="5" t="s">
        <v>10</v>
      </c>
      <c r="F91" s="5" t="s">
        <v>10</v>
      </c>
      <c r="G91" s="5" t="s">
        <v>10</v>
      </c>
    </row>
    <row r="92" spans="1:7" ht="21" customHeight="1" x14ac:dyDescent="0.25">
      <c r="A92" s="2" t="s">
        <v>236</v>
      </c>
      <c r="B92" s="3" t="s">
        <v>237</v>
      </c>
      <c r="C92" s="4" t="s">
        <v>238</v>
      </c>
      <c r="D92" s="5" t="s">
        <v>10</v>
      </c>
      <c r="E92" s="5" t="s">
        <v>10</v>
      </c>
      <c r="F92" s="5" t="s">
        <v>10</v>
      </c>
      <c r="G92" s="5" t="s">
        <v>10</v>
      </c>
    </row>
    <row r="93" spans="1:7" ht="21" customHeight="1" x14ac:dyDescent="0.25">
      <c r="A93" s="2" t="s">
        <v>239</v>
      </c>
      <c r="B93" s="3" t="s">
        <v>22</v>
      </c>
      <c r="C93" s="4" t="s">
        <v>240</v>
      </c>
      <c r="D93" s="5" t="s">
        <v>10</v>
      </c>
      <c r="E93" s="5" t="s">
        <v>10</v>
      </c>
      <c r="F93" s="5" t="s">
        <v>10</v>
      </c>
      <c r="G93" s="5" t="s">
        <v>10</v>
      </c>
    </row>
    <row r="94" spans="1:7" ht="21" customHeight="1" x14ac:dyDescent="0.25">
      <c r="A94" s="2" t="s">
        <v>241</v>
      </c>
      <c r="B94" s="3" t="s">
        <v>25</v>
      </c>
      <c r="C94" s="4" t="s">
        <v>242</v>
      </c>
      <c r="D94" s="5" t="s">
        <v>10</v>
      </c>
      <c r="E94" s="5" t="s">
        <v>10</v>
      </c>
      <c r="F94" s="5" t="s">
        <v>10</v>
      </c>
      <c r="G94" s="5" t="s">
        <v>10</v>
      </c>
    </row>
    <row r="95" spans="1:7" ht="21" customHeight="1" x14ac:dyDescent="0.25">
      <c r="A95" s="2" t="s">
        <v>243</v>
      </c>
      <c r="B95" s="3" t="s">
        <v>25</v>
      </c>
      <c r="C95" s="4" t="s">
        <v>244</v>
      </c>
      <c r="D95" s="5" t="s">
        <v>10</v>
      </c>
      <c r="E95" s="5" t="s">
        <v>10</v>
      </c>
      <c r="F95" s="5" t="s">
        <v>10</v>
      </c>
      <c r="G95" s="5" t="s">
        <v>10</v>
      </c>
    </row>
    <row r="96" spans="1:7" ht="21" customHeight="1" x14ac:dyDescent="0.25">
      <c r="A96" s="2" t="s">
        <v>245</v>
      </c>
      <c r="B96" s="3" t="s">
        <v>246</v>
      </c>
      <c r="C96" s="4" t="s">
        <v>247</v>
      </c>
      <c r="D96" s="5" t="s">
        <v>14</v>
      </c>
      <c r="E96" s="5" t="s">
        <v>14</v>
      </c>
      <c r="F96" s="5" t="s">
        <v>14</v>
      </c>
      <c r="G96" s="5" t="s">
        <v>14</v>
      </c>
    </row>
    <row r="97" spans="1:7" ht="21" customHeight="1" x14ac:dyDescent="0.25">
      <c r="A97" s="2" t="s">
        <v>248</v>
      </c>
      <c r="B97" s="3" t="s">
        <v>249</v>
      </c>
      <c r="C97" s="4" t="s">
        <v>250</v>
      </c>
      <c r="D97" s="5" t="s">
        <v>14</v>
      </c>
      <c r="E97" s="5" t="s">
        <v>14</v>
      </c>
      <c r="F97" s="5" t="s">
        <v>10</v>
      </c>
      <c r="G97" s="5" t="s">
        <v>14</v>
      </c>
    </row>
    <row r="98" spans="1:7" ht="21" customHeight="1" x14ac:dyDescent="0.25">
      <c r="A98" s="2" t="s">
        <v>251</v>
      </c>
      <c r="B98" s="3" t="s">
        <v>252</v>
      </c>
      <c r="C98" s="4" t="s">
        <v>253</v>
      </c>
      <c r="D98" s="5" t="s">
        <v>14</v>
      </c>
      <c r="E98" s="5" t="s">
        <v>14</v>
      </c>
      <c r="F98" s="5" t="s">
        <v>14</v>
      </c>
      <c r="G98" s="5" t="s">
        <v>14</v>
      </c>
    </row>
    <row r="99" spans="1:7" ht="21" customHeight="1" x14ac:dyDescent="0.25">
      <c r="A99" s="2" t="s">
        <v>254</v>
      </c>
      <c r="B99" s="3" t="s">
        <v>255</v>
      </c>
      <c r="C99" s="4" t="s">
        <v>256</v>
      </c>
      <c r="D99" s="5" t="s">
        <v>14</v>
      </c>
      <c r="E99" s="5" t="s">
        <v>56</v>
      </c>
      <c r="F99" s="5" t="s">
        <v>14</v>
      </c>
      <c r="G99" s="5" t="s">
        <v>14</v>
      </c>
    </row>
    <row r="100" spans="1:7" ht="21" customHeight="1" x14ac:dyDescent="0.25">
      <c r="A100" s="2" t="s">
        <v>257</v>
      </c>
      <c r="B100" s="3" t="s">
        <v>258</v>
      </c>
      <c r="C100" s="4" t="s">
        <v>259</v>
      </c>
      <c r="D100" s="5" t="s">
        <v>14</v>
      </c>
      <c r="E100" s="5" t="s">
        <v>14</v>
      </c>
      <c r="F100" s="5" t="s">
        <v>14</v>
      </c>
      <c r="G100" s="5" t="s">
        <v>14</v>
      </c>
    </row>
    <row r="101" spans="1:7" ht="21" customHeight="1" x14ac:dyDescent="0.25">
      <c r="A101" s="2" t="s">
        <v>260</v>
      </c>
      <c r="B101" s="3" t="s">
        <v>261</v>
      </c>
      <c r="C101" s="4" t="s">
        <v>262</v>
      </c>
      <c r="D101" s="5" t="s">
        <v>14</v>
      </c>
      <c r="E101" s="5" t="s">
        <v>14</v>
      </c>
      <c r="F101" s="5" t="s">
        <v>14</v>
      </c>
      <c r="G101" s="5" t="s">
        <v>14</v>
      </c>
    </row>
    <row r="102" spans="1:7" ht="21" customHeight="1" x14ac:dyDescent="0.25">
      <c r="A102" s="2" t="s">
        <v>263</v>
      </c>
      <c r="B102" s="3" t="s">
        <v>264</v>
      </c>
      <c r="C102" s="4" t="s">
        <v>265</v>
      </c>
      <c r="D102" s="5" t="s">
        <v>14</v>
      </c>
      <c r="E102" s="5" t="s">
        <v>14</v>
      </c>
      <c r="F102" s="5" t="s">
        <v>14</v>
      </c>
      <c r="G102" s="5" t="s">
        <v>14</v>
      </c>
    </row>
    <row r="103" spans="1:7" ht="21" customHeight="1" x14ac:dyDescent="0.25">
      <c r="A103" s="2" t="s">
        <v>266</v>
      </c>
      <c r="B103" s="3" t="s">
        <v>267</v>
      </c>
      <c r="C103" s="4" t="s">
        <v>268</v>
      </c>
      <c r="D103" s="5" t="s">
        <v>14</v>
      </c>
      <c r="E103" s="5" t="s">
        <v>14</v>
      </c>
      <c r="F103" s="5" t="s">
        <v>14</v>
      </c>
      <c r="G103" s="5" t="s">
        <v>14</v>
      </c>
    </row>
    <row r="104" spans="1:7" ht="21" customHeight="1" x14ac:dyDescent="0.25">
      <c r="A104" s="2" t="s">
        <v>269</v>
      </c>
      <c r="B104" s="3" t="s">
        <v>270</v>
      </c>
      <c r="C104" s="4" t="s">
        <v>271</v>
      </c>
      <c r="D104" s="5" t="s">
        <v>14</v>
      </c>
      <c r="E104" s="5" t="s">
        <v>56</v>
      </c>
      <c r="F104" s="5" t="s">
        <v>14</v>
      </c>
      <c r="G104" s="5" t="s">
        <v>14</v>
      </c>
    </row>
    <row r="105" spans="1:7" ht="21" customHeight="1" x14ac:dyDescent="0.25">
      <c r="A105" s="2" t="s">
        <v>272</v>
      </c>
      <c r="B105" s="3" t="s">
        <v>273</v>
      </c>
      <c r="C105" s="4" t="s">
        <v>274</v>
      </c>
      <c r="D105" s="5" t="s">
        <v>14</v>
      </c>
      <c r="E105" s="5" t="s">
        <v>56</v>
      </c>
      <c r="F105" s="5" t="s">
        <v>14</v>
      </c>
      <c r="G105" s="5" t="s">
        <v>56</v>
      </c>
    </row>
    <row r="106" spans="1:7" ht="6" customHeight="1" x14ac:dyDescent="0.25">
      <c r="A106" s="6"/>
      <c r="B106" s="7"/>
      <c r="C106" s="7"/>
      <c r="D106" s="6"/>
      <c r="E106" s="6"/>
      <c r="F106" s="6"/>
      <c r="G106" s="6"/>
    </row>
    <row r="107" spans="1:7" ht="21" customHeight="1" x14ac:dyDescent="0.25">
      <c r="A107" s="2" t="s">
        <v>275</v>
      </c>
      <c r="B107" s="3" t="s">
        <v>276</v>
      </c>
      <c r="C107" s="4" t="s">
        <v>277</v>
      </c>
      <c r="D107" s="5" t="s">
        <v>10</v>
      </c>
      <c r="E107" s="5" t="s">
        <v>10</v>
      </c>
      <c r="F107" s="5" t="s">
        <v>10</v>
      </c>
      <c r="G107" s="5" t="s">
        <v>10</v>
      </c>
    </row>
    <row r="108" spans="1:7" ht="21" customHeight="1" x14ac:dyDescent="0.25">
      <c r="A108" s="2" t="s">
        <v>278</v>
      </c>
      <c r="B108" s="3" t="s">
        <v>276</v>
      </c>
      <c r="C108" s="4" t="s">
        <v>279</v>
      </c>
      <c r="D108" s="5" t="s">
        <v>10</v>
      </c>
      <c r="E108" s="5" t="s">
        <v>10</v>
      </c>
      <c r="F108" s="5" t="s">
        <v>10</v>
      </c>
      <c r="G108" s="5" t="s">
        <v>10</v>
      </c>
    </row>
    <row r="109" spans="1:7" ht="21" customHeight="1" x14ac:dyDescent="0.25">
      <c r="A109" s="2" t="s">
        <v>280</v>
      </c>
      <c r="B109" s="3" t="s">
        <v>25</v>
      </c>
      <c r="C109" s="4" t="s">
        <v>281</v>
      </c>
      <c r="D109" s="5" t="s">
        <v>10</v>
      </c>
      <c r="E109" s="5" t="s">
        <v>10</v>
      </c>
      <c r="F109" s="5" t="s">
        <v>10</v>
      </c>
      <c r="G109" s="5" t="s">
        <v>10</v>
      </c>
    </row>
    <row r="110" spans="1:7" ht="21" customHeight="1" x14ac:dyDescent="0.25">
      <c r="A110" s="2" t="s">
        <v>282</v>
      </c>
      <c r="B110" s="3" t="s">
        <v>25</v>
      </c>
      <c r="C110" s="4" t="s">
        <v>283</v>
      </c>
      <c r="D110" s="5" t="s">
        <v>10</v>
      </c>
      <c r="E110" s="5" t="s">
        <v>10</v>
      </c>
      <c r="F110" s="5" t="s">
        <v>10</v>
      </c>
      <c r="G110" s="5" t="s">
        <v>10</v>
      </c>
    </row>
    <row r="111" spans="1:7" ht="21" customHeight="1" x14ac:dyDescent="0.25">
      <c r="A111" s="2" t="s">
        <v>284</v>
      </c>
      <c r="B111" s="3" t="s">
        <v>285</v>
      </c>
      <c r="C111" s="4" t="s">
        <v>286</v>
      </c>
      <c r="D111" s="5" t="s">
        <v>10</v>
      </c>
      <c r="E111" s="5" t="s">
        <v>10</v>
      </c>
      <c r="F111" s="5" t="s">
        <v>10</v>
      </c>
      <c r="G111" s="5" t="s">
        <v>10</v>
      </c>
    </row>
    <row r="112" spans="1:7" ht="21" customHeight="1" x14ac:dyDescent="0.25">
      <c r="A112" s="2" t="s">
        <v>287</v>
      </c>
      <c r="B112" s="3" t="s">
        <v>25</v>
      </c>
      <c r="C112" s="4" t="s">
        <v>288</v>
      </c>
      <c r="D112" s="5" t="s">
        <v>10</v>
      </c>
      <c r="E112" s="5" t="s">
        <v>10</v>
      </c>
      <c r="F112" s="5" t="s">
        <v>10</v>
      </c>
      <c r="G112" s="5" t="s">
        <v>10</v>
      </c>
    </row>
    <row r="113" spans="1:7" ht="21" customHeight="1" x14ac:dyDescent="0.25">
      <c r="A113" s="2" t="s">
        <v>289</v>
      </c>
      <c r="B113" s="3" t="s">
        <v>290</v>
      </c>
      <c r="C113" s="4" t="s">
        <v>291</v>
      </c>
      <c r="D113" s="5" t="s">
        <v>10</v>
      </c>
      <c r="E113" s="5" t="s">
        <v>10</v>
      </c>
      <c r="F113" s="5" t="s">
        <v>10</v>
      </c>
      <c r="G113" s="5" t="s">
        <v>10</v>
      </c>
    </row>
    <row r="114" spans="1:7" ht="21" customHeight="1" x14ac:dyDescent="0.25">
      <c r="A114" s="2" t="s">
        <v>292</v>
      </c>
      <c r="B114" s="3" t="s">
        <v>290</v>
      </c>
      <c r="C114" s="4" t="s">
        <v>293</v>
      </c>
      <c r="D114" s="5" t="s">
        <v>10</v>
      </c>
      <c r="E114" s="5" t="s">
        <v>10</v>
      </c>
      <c r="F114" s="5" t="s">
        <v>10</v>
      </c>
      <c r="G114" s="5" t="s">
        <v>10</v>
      </c>
    </row>
    <row r="115" spans="1:7" ht="21" customHeight="1" x14ac:dyDescent="0.25">
      <c r="A115" s="2" t="s">
        <v>294</v>
      </c>
      <c r="B115" s="3" t="s">
        <v>30</v>
      </c>
      <c r="C115" s="4" t="s">
        <v>295</v>
      </c>
      <c r="D115" s="5" t="s">
        <v>10</v>
      </c>
      <c r="E115" s="5" t="s">
        <v>56</v>
      </c>
      <c r="F115" s="5" t="s">
        <v>10</v>
      </c>
      <c r="G115" s="5" t="s">
        <v>56</v>
      </c>
    </row>
    <row r="116" spans="1:7" ht="21" customHeight="1" x14ac:dyDescent="0.25">
      <c r="A116" s="2" t="s">
        <v>296</v>
      </c>
      <c r="B116" s="3" t="s">
        <v>297</v>
      </c>
      <c r="C116" s="4" t="s">
        <v>298</v>
      </c>
      <c r="D116" s="5" t="s">
        <v>10</v>
      </c>
      <c r="E116" s="5" t="s">
        <v>10</v>
      </c>
      <c r="F116" s="5" t="s">
        <v>10</v>
      </c>
      <c r="G116" s="5" t="s">
        <v>10</v>
      </c>
    </row>
    <row r="117" spans="1:7" ht="21" customHeight="1" x14ac:dyDescent="0.25">
      <c r="A117" s="2" t="s">
        <v>299</v>
      </c>
      <c r="B117" s="3" t="s">
        <v>300</v>
      </c>
      <c r="C117" s="4" t="s">
        <v>301</v>
      </c>
      <c r="D117" s="5" t="s">
        <v>14</v>
      </c>
      <c r="E117" s="5" t="s">
        <v>14</v>
      </c>
      <c r="F117" s="5" t="s">
        <v>14</v>
      </c>
      <c r="G117" s="5" t="s">
        <v>14</v>
      </c>
    </row>
    <row r="118" spans="1:7" ht="21" customHeight="1" x14ac:dyDescent="0.25">
      <c r="A118" s="2" t="s">
        <v>302</v>
      </c>
      <c r="B118" s="3" t="s">
        <v>303</v>
      </c>
      <c r="C118" s="4" t="s">
        <v>304</v>
      </c>
      <c r="D118" s="5" t="s">
        <v>14</v>
      </c>
      <c r="E118" s="5" t="s">
        <v>14</v>
      </c>
      <c r="F118" s="5" t="s">
        <v>14</v>
      </c>
      <c r="G118" s="5" t="s">
        <v>14</v>
      </c>
    </row>
    <row r="119" spans="1:7" ht="21" customHeight="1" x14ac:dyDescent="0.25">
      <c r="A119" s="2" t="s">
        <v>305</v>
      </c>
      <c r="B119" s="3" t="s">
        <v>306</v>
      </c>
      <c r="C119" s="4" t="s">
        <v>307</v>
      </c>
      <c r="D119" s="5" t="s">
        <v>14</v>
      </c>
      <c r="E119" s="5" t="s">
        <v>10</v>
      </c>
      <c r="F119" s="5" t="s">
        <v>56</v>
      </c>
      <c r="G119" s="5" t="s">
        <v>56</v>
      </c>
    </row>
    <row r="120" spans="1:7" ht="21" customHeight="1" x14ac:dyDescent="0.25">
      <c r="A120" s="2" t="s">
        <v>308</v>
      </c>
      <c r="B120" s="3" t="s">
        <v>309</v>
      </c>
      <c r="C120" s="4" t="s">
        <v>310</v>
      </c>
      <c r="D120" s="5" t="s">
        <v>14</v>
      </c>
      <c r="E120" s="5" t="s">
        <v>14</v>
      </c>
      <c r="F120" s="5" t="s">
        <v>56</v>
      </c>
      <c r="G120" s="5" t="s">
        <v>14</v>
      </c>
    </row>
    <row r="121" spans="1:7" ht="21" customHeight="1" x14ac:dyDescent="0.25">
      <c r="A121" s="2" t="s">
        <v>311</v>
      </c>
      <c r="B121" s="3" t="s">
        <v>312</v>
      </c>
      <c r="C121" s="4" t="s">
        <v>313</v>
      </c>
      <c r="D121" s="5" t="s">
        <v>14</v>
      </c>
      <c r="E121" s="5" t="s">
        <v>14</v>
      </c>
      <c r="F121" s="5" t="s">
        <v>14</v>
      </c>
      <c r="G121" s="5" t="s">
        <v>14</v>
      </c>
    </row>
    <row r="122" spans="1:7" ht="21" customHeight="1" x14ac:dyDescent="0.25">
      <c r="A122" s="2" t="s">
        <v>314</v>
      </c>
      <c r="B122" s="3" t="s">
        <v>315</v>
      </c>
      <c r="C122" s="4" t="s">
        <v>316</v>
      </c>
      <c r="D122" s="5" t="s">
        <v>14</v>
      </c>
      <c r="E122" s="5" t="s">
        <v>14</v>
      </c>
      <c r="F122" s="5" t="s">
        <v>14</v>
      </c>
      <c r="G122" s="5" t="s">
        <v>14</v>
      </c>
    </row>
    <row r="123" spans="1:7" ht="21" customHeight="1" x14ac:dyDescent="0.25">
      <c r="A123" s="2" t="s">
        <v>317</v>
      </c>
      <c r="B123" s="3" t="s">
        <v>318</v>
      </c>
      <c r="C123" s="4" t="s">
        <v>319</v>
      </c>
      <c r="D123" s="5" t="s">
        <v>14</v>
      </c>
      <c r="E123" s="5" t="s">
        <v>14</v>
      </c>
      <c r="F123" s="5" t="s">
        <v>14</v>
      </c>
      <c r="G123" s="5" t="s">
        <v>14</v>
      </c>
    </row>
    <row r="124" spans="1:7" ht="21" customHeight="1" x14ac:dyDescent="0.25">
      <c r="A124" s="2" t="s">
        <v>320</v>
      </c>
      <c r="B124" s="3" t="s">
        <v>321</v>
      </c>
      <c r="C124" s="4" t="s">
        <v>322</v>
      </c>
      <c r="D124" s="5" t="s">
        <v>14</v>
      </c>
      <c r="E124" s="5" t="s">
        <v>14</v>
      </c>
      <c r="F124" s="5" t="s">
        <v>14</v>
      </c>
      <c r="G124" s="5" t="s">
        <v>14</v>
      </c>
    </row>
    <row r="125" spans="1:7" ht="21" customHeight="1" x14ac:dyDescent="0.25">
      <c r="A125" s="2" t="s">
        <v>323</v>
      </c>
      <c r="B125" s="3" t="s">
        <v>324</v>
      </c>
      <c r="C125" s="4" t="s">
        <v>325</v>
      </c>
      <c r="D125" s="5" t="s">
        <v>14</v>
      </c>
      <c r="E125" s="5" t="s">
        <v>14</v>
      </c>
      <c r="F125" s="5" t="s">
        <v>14</v>
      </c>
      <c r="G125" s="5" t="s">
        <v>14</v>
      </c>
    </row>
    <row r="126" spans="1:7" ht="21" customHeight="1" x14ac:dyDescent="0.25">
      <c r="A126" s="2" t="s">
        <v>326</v>
      </c>
      <c r="B126" s="3" t="s">
        <v>327</v>
      </c>
      <c r="C126" s="4" t="s">
        <v>328</v>
      </c>
      <c r="D126" s="5" t="s">
        <v>14</v>
      </c>
      <c r="E126" s="5" t="s">
        <v>56</v>
      </c>
      <c r="F126" s="5" t="s">
        <v>10</v>
      </c>
      <c r="G126" s="5" t="s">
        <v>14</v>
      </c>
    </row>
    <row r="127" spans="1:7" ht="6" customHeight="1" x14ac:dyDescent="0.25">
      <c r="A127" s="6"/>
      <c r="B127" s="7"/>
      <c r="C127" s="7"/>
      <c r="D127" s="6"/>
      <c r="E127" s="6"/>
      <c r="F127" s="6"/>
      <c r="G127" s="6"/>
    </row>
    <row r="128" spans="1:7" ht="21" customHeight="1" x14ac:dyDescent="0.25">
      <c r="A128" s="2" t="s">
        <v>329</v>
      </c>
      <c r="B128" s="3" t="s">
        <v>25</v>
      </c>
      <c r="C128" s="4" t="s">
        <v>330</v>
      </c>
      <c r="D128" s="5" t="s">
        <v>10</v>
      </c>
      <c r="E128" s="5" t="s">
        <v>10</v>
      </c>
      <c r="F128" s="5" t="s">
        <v>10</v>
      </c>
      <c r="G128" s="5" t="s">
        <v>10</v>
      </c>
    </row>
    <row r="129" spans="1:7" ht="21" customHeight="1" x14ac:dyDescent="0.25">
      <c r="A129" s="2" t="s">
        <v>331</v>
      </c>
      <c r="B129" s="3" t="s">
        <v>25</v>
      </c>
      <c r="C129" s="4" t="s">
        <v>332</v>
      </c>
      <c r="D129" s="5" t="s">
        <v>10</v>
      </c>
      <c r="E129" s="5" t="s">
        <v>10</v>
      </c>
      <c r="F129" s="5" t="s">
        <v>10</v>
      </c>
      <c r="G129" s="5" t="s">
        <v>10</v>
      </c>
    </row>
    <row r="130" spans="1:7" ht="21" customHeight="1" x14ac:dyDescent="0.25">
      <c r="A130" s="2" t="s">
        <v>333</v>
      </c>
      <c r="B130" s="3" t="s">
        <v>110</v>
      </c>
      <c r="C130" s="4" t="s">
        <v>334</v>
      </c>
      <c r="D130" s="5" t="s">
        <v>10</v>
      </c>
      <c r="E130" s="5" t="s">
        <v>10</v>
      </c>
      <c r="F130" s="5" t="s">
        <v>14</v>
      </c>
      <c r="G130" s="5" t="s">
        <v>14</v>
      </c>
    </row>
    <row r="131" spans="1:7" ht="21" customHeight="1" x14ac:dyDescent="0.25">
      <c r="A131" s="2" t="s">
        <v>335</v>
      </c>
      <c r="B131" s="3" t="s">
        <v>30</v>
      </c>
      <c r="C131" s="4" t="s">
        <v>336</v>
      </c>
      <c r="D131" s="5" t="s">
        <v>10</v>
      </c>
      <c r="E131" s="5" t="s">
        <v>10</v>
      </c>
      <c r="F131" s="5" t="s">
        <v>10</v>
      </c>
      <c r="G131" s="5" t="s">
        <v>10</v>
      </c>
    </row>
    <row r="132" spans="1:7" ht="21" customHeight="1" x14ac:dyDescent="0.25">
      <c r="A132" s="2" t="s">
        <v>337</v>
      </c>
      <c r="B132" s="3" t="s">
        <v>25</v>
      </c>
      <c r="C132" s="4" t="s">
        <v>338</v>
      </c>
      <c r="D132" s="5" t="s">
        <v>10</v>
      </c>
      <c r="E132" s="5" t="s">
        <v>10</v>
      </c>
      <c r="F132" s="5" t="s">
        <v>10</v>
      </c>
      <c r="G132" s="5" t="s">
        <v>10</v>
      </c>
    </row>
    <row r="133" spans="1:7" ht="21" customHeight="1" x14ac:dyDescent="0.25">
      <c r="A133" s="2" t="s">
        <v>339</v>
      </c>
      <c r="B133" s="3" t="s">
        <v>25</v>
      </c>
      <c r="C133" s="4" t="s">
        <v>340</v>
      </c>
      <c r="D133" s="5" t="s">
        <v>10</v>
      </c>
      <c r="E133" s="5" t="s">
        <v>10</v>
      </c>
      <c r="F133" s="5" t="s">
        <v>10</v>
      </c>
      <c r="G133" s="5" t="s">
        <v>10</v>
      </c>
    </row>
    <row r="134" spans="1:7" ht="21" customHeight="1" x14ac:dyDescent="0.25">
      <c r="A134" s="2" t="s">
        <v>341</v>
      </c>
      <c r="B134" s="3" t="s">
        <v>30</v>
      </c>
      <c r="C134" s="4" t="s">
        <v>342</v>
      </c>
      <c r="D134" s="5" t="s">
        <v>10</v>
      </c>
      <c r="E134" s="5" t="s">
        <v>10</v>
      </c>
      <c r="F134" s="5" t="s">
        <v>10</v>
      </c>
      <c r="G134" s="5" t="s">
        <v>10</v>
      </c>
    </row>
    <row r="135" spans="1:7" ht="21" customHeight="1" x14ac:dyDescent="0.25">
      <c r="A135" s="2" t="s">
        <v>343</v>
      </c>
      <c r="B135" s="3" t="s">
        <v>30</v>
      </c>
      <c r="C135" s="4" t="s">
        <v>344</v>
      </c>
      <c r="D135" s="5" t="s">
        <v>10</v>
      </c>
      <c r="E135" s="5" t="s">
        <v>10</v>
      </c>
      <c r="F135" s="5" t="s">
        <v>10</v>
      </c>
      <c r="G135" s="5" t="s">
        <v>10</v>
      </c>
    </row>
    <row r="136" spans="1:7" ht="21" customHeight="1" x14ac:dyDescent="0.25">
      <c r="A136" s="2" t="s">
        <v>345</v>
      </c>
      <c r="B136" s="3" t="s">
        <v>25</v>
      </c>
      <c r="C136" s="4" t="s">
        <v>346</v>
      </c>
      <c r="D136" s="5" t="s">
        <v>10</v>
      </c>
      <c r="E136" s="5" t="s">
        <v>10</v>
      </c>
      <c r="F136" s="5" t="s">
        <v>10</v>
      </c>
      <c r="G136" s="5" t="s">
        <v>10</v>
      </c>
    </row>
    <row r="137" spans="1:7" ht="21" customHeight="1" x14ac:dyDescent="0.25">
      <c r="A137" s="2" t="s">
        <v>347</v>
      </c>
      <c r="B137" s="3" t="s">
        <v>73</v>
      </c>
      <c r="C137" s="4" t="s">
        <v>348</v>
      </c>
      <c r="D137" s="5" t="s">
        <v>10</v>
      </c>
      <c r="E137" s="5" t="s">
        <v>10</v>
      </c>
      <c r="F137" s="5" t="s">
        <v>10</v>
      </c>
      <c r="G137" s="5" t="s">
        <v>10</v>
      </c>
    </row>
    <row r="138" spans="1:7" ht="21" customHeight="1" x14ac:dyDescent="0.25">
      <c r="A138" s="2" t="s">
        <v>349</v>
      </c>
      <c r="B138" s="3" t="s">
        <v>73</v>
      </c>
      <c r="C138" s="4" t="s">
        <v>350</v>
      </c>
      <c r="D138" s="5" t="s">
        <v>10</v>
      </c>
      <c r="E138" s="5" t="s">
        <v>10</v>
      </c>
      <c r="F138" s="5" t="s">
        <v>10</v>
      </c>
      <c r="G138" s="5" t="s">
        <v>10</v>
      </c>
    </row>
    <row r="139" spans="1:7" ht="21" customHeight="1" x14ac:dyDescent="0.25">
      <c r="A139" s="2" t="s">
        <v>351</v>
      </c>
      <c r="B139" s="3" t="s">
        <v>73</v>
      </c>
      <c r="C139" s="4" t="s">
        <v>352</v>
      </c>
      <c r="D139" s="5" t="s">
        <v>10</v>
      </c>
      <c r="E139" s="5" t="s">
        <v>10</v>
      </c>
      <c r="F139" s="5" t="s">
        <v>10</v>
      </c>
      <c r="G139" s="5" t="s">
        <v>10</v>
      </c>
    </row>
    <row r="140" spans="1:7" ht="21" customHeight="1" x14ac:dyDescent="0.25">
      <c r="A140" s="2" t="s">
        <v>353</v>
      </c>
      <c r="B140" s="3" t="s">
        <v>354</v>
      </c>
      <c r="C140" s="4" t="s">
        <v>355</v>
      </c>
      <c r="D140" s="5" t="s">
        <v>10</v>
      </c>
      <c r="E140" s="5" t="s">
        <v>10</v>
      </c>
      <c r="F140" s="5" t="s">
        <v>10</v>
      </c>
      <c r="G140" s="5" t="s">
        <v>10</v>
      </c>
    </row>
    <row r="141" spans="1:7" ht="21" customHeight="1" x14ac:dyDescent="0.25">
      <c r="A141" s="2" t="s">
        <v>356</v>
      </c>
      <c r="B141" s="3" t="s">
        <v>354</v>
      </c>
      <c r="C141" s="4" t="s">
        <v>357</v>
      </c>
      <c r="D141" s="5" t="s">
        <v>10</v>
      </c>
      <c r="E141" s="5" t="s">
        <v>10</v>
      </c>
      <c r="F141" s="5" t="s">
        <v>10</v>
      </c>
      <c r="G141" s="5" t="s">
        <v>10</v>
      </c>
    </row>
    <row r="142" spans="1:7" ht="21" customHeight="1" x14ac:dyDescent="0.25">
      <c r="A142" s="2" t="s">
        <v>358</v>
      </c>
      <c r="B142" s="3" t="s">
        <v>359</v>
      </c>
      <c r="C142" s="4" t="s">
        <v>360</v>
      </c>
      <c r="D142" s="5" t="s">
        <v>10</v>
      </c>
      <c r="E142" s="5" t="s">
        <v>10</v>
      </c>
      <c r="F142" s="5" t="s">
        <v>10</v>
      </c>
      <c r="G142" s="5" t="s">
        <v>10</v>
      </c>
    </row>
    <row r="143" spans="1:7" ht="21" customHeight="1" x14ac:dyDescent="0.25">
      <c r="A143" s="2" t="s">
        <v>361</v>
      </c>
      <c r="B143" s="3" t="s">
        <v>362</v>
      </c>
      <c r="C143" s="4" t="s">
        <v>363</v>
      </c>
      <c r="D143" s="5" t="s">
        <v>14</v>
      </c>
      <c r="E143" s="5" t="s">
        <v>10</v>
      </c>
      <c r="F143" s="5" t="s">
        <v>14</v>
      </c>
      <c r="G143" s="5" t="s">
        <v>14</v>
      </c>
    </row>
    <row r="144" spans="1:7" ht="21" customHeight="1" x14ac:dyDescent="0.25">
      <c r="A144" s="2" t="s">
        <v>364</v>
      </c>
      <c r="B144" s="3" t="s">
        <v>365</v>
      </c>
      <c r="C144" s="4" t="s">
        <v>366</v>
      </c>
      <c r="D144" s="5" t="s">
        <v>14</v>
      </c>
      <c r="E144" s="5" t="s">
        <v>56</v>
      </c>
      <c r="F144" s="5" t="s">
        <v>14</v>
      </c>
      <c r="G144" s="5" t="s">
        <v>14</v>
      </c>
    </row>
    <row r="145" spans="1:7" ht="21" customHeight="1" x14ac:dyDescent="0.25">
      <c r="A145" s="2" t="s">
        <v>367</v>
      </c>
      <c r="B145" s="3" t="s">
        <v>368</v>
      </c>
      <c r="C145" s="4" t="s">
        <v>369</v>
      </c>
      <c r="D145" s="5" t="s">
        <v>14</v>
      </c>
      <c r="E145" s="5" t="s">
        <v>10</v>
      </c>
      <c r="F145" s="5" t="s">
        <v>14</v>
      </c>
      <c r="G145" s="5" t="s">
        <v>14</v>
      </c>
    </row>
    <row r="146" spans="1:7" ht="21" customHeight="1" x14ac:dyDescent="0.25">
      <c r="A146" s="2" t="s">
        <v>370</v>
      </c>
      <c r="B146" s="3" t="s">
        <v>371</v>
      </c>
      <c r="C146" s="4" t="s">
        <v>372</v>
      </c>
      <c r="D146" s="5" t="s">
        <v>14</v>
      </c>
      <c r="E146" s="5" t="s">
        <v>14</v>
      </c>
      <c r="F146" s="5" t="s">
        <v>14</v>
      </c>
      <c r="G146" s="5" t="s">
        <v>14</v>
      </c>
    </row>
    <row r="147" spans="1:7" ht="21" customHeight="1" x14ac:dyDescent="0.25">
      <c r="A147" s="2" t="s">
        <v>373</v>
      </c>
      <c r="B147" s="3" t="s">
        <v>374</v>
      </c>
      <c r="C147" s="4" t="s">
        <v>375</v>
      </c>
      <c r="D147" s="5" t="s">
        <v>14</v>
      </c>
      <c r="E147" s="5" t="s">
        <v>14</v>
      </c>
      <c r="F147" s="5" t="s">
        <v>14</v>
      </c>
      <c r="G147" s="5" t="s">
        <v>14</v>
      </c>
    </row>
    <row r="148" spans="1:7" ht="21" customHeight="1" x14ac:dyDescent="0.25">
      <c r="A148" s="2" t="s">
        <v>376</v>
      </c>
      <c r="B148" s="3" t="s">
        <v>377</v>
      </c>
      <c r="C148" s="4" t="s">
        <v>378</v>
      </c>
      <c r="D148" s="5" t="s">
        <v>14</v>
      </c>
      <c r="E148" s="5" t="s">
        <v>14</v>
      </c>
      <c r="F148" s="5" t="s">
        <v>14</v>
      </c>
      <c r="G148" s="5" t="s">
        <v>14</v>
      </c>
    </row>
    <row r="149" spans="1:7" ht="21" customHeight="1" x14ac:dyDescent="0.25">
      <c r="A149" s="2" t="s">
        <v>379</v>
      </c>
      <c r="B149" s="3" t="s">
        <v>380</v>
      </c>
      <c r="C149" s="4" t="s">
        <v>381</v>
      </c>
      <c r="D149" s="5" t="s">
        <v>14</v>
      </c>
      <c r="E149" s="5" t="s">
        <v>14</v>
      </c>
      <c r="F149" s="5" t="s">
        <v>14</v>
      </c>
      <c r="G149" s="5" t="s">
        <v>14</v>
      </c>
    </row>
    <row r="150" spans="1:7" ht="21" customHeight="1" x14ac:dyDescent="0.25">
      <c r="A150" s="2" t="s">
        <v>382</v>
      </c>
      <c r="B150" s="3" t="s">
        <v>383</v>
      </c>
      <c r="C150" s="4" t="s">
        <v>384</v>
      </c>
      <c r="D150" s="5" t="s">
        <v>14</v>
      </c>
      <c r="E150" s="5" t="s">
        <v>14</v>
      </c>
      <c r="F150" s="5" t="s">
        <v>14</v>
      </c>
      <c r="G150" s="5" t="s">
        <v>14</v>
      </c>
    </row>
    <row r="151" spans="1:7" ht="21" customHeight="1" x14ac:dyDescent="0.25">
      <c r="A151" s="2" t="s">
        <v>385</v>
      </c>
      <c r="B151" s="3" t="s">
        <v>386</v>
      </c>
      <c r="C151" s="4" t="s">
        <v>387</v>
      </c>
      <c r="D151" s="5" t="s">
        <v>14</v>
      </c>
      <c r="E151" s="5" t="s">
        <v>14</v>
      </c>
      <c r="F151" s="5" t="s">
        <v>14</v>
      </c>
      <c r="G151" s="5" t="s">
        <v>14</v>
      </c>
    </row>
    <row r="152" spans="1:7" ht="21" customHeight="1" x14ac:dyDescent="0.25">
      <c r="A152" s="2" t="s">
        <v>388</v>
      </c>
      <c r="B152" s="3" t="s">
        <v>389</v>
      </c>
      <c r="C152" s="4" t="s">
        <v>390</v>
      </c>
      <c r="D152" s="5" t="s">
        <v>14</v>
      </c>
      <c r="E152" s="5" t="s">
        <v>14</v>
      </c>
      <c r="F152" s="5" t="s">
        <v>14</v>
      </c>
      <c r="G152" s="5" t="s">
        <v>14</v>
      </c>
    </row>
    <row r="153" spans="1:7" ht="21" customHeight="1" x14ac:dyDescent="0.25">
      <c r="A153" s="2" t="s">
        <v>391</v>
      </c>
      <c r="B153" s="3" t="s">
        <v>392</v>
      </c>
      <c r="C153" s="4" t="s">
        <v>393</v>
      </c>
      <c r="D153" s="5" t="s">
        <v>14</v>
      </c>
      <c r="E153" s="5" t="s">
        <v>56</v>
      </c>
      <c r="F153" s="5" t="s">
        <v>14</v>
      </c>
      <c r="G153" s="5" t="s">
        <v>14</v>
      </c>
    </row>
    <row r="154" spans="1:7" ht="21" customHeight="1" x14ac:dyDescent="0.25">
      <c r="A154" s="2" t="s">
        <v>394</v>
      </c>
      <c r="B154" s="3" t="s">
        <v>395</v>
      </c>
      <c r="C154" s="4" t="s">
        <v>396</v>
      </c>
      <c r="D154" s="5" t="s">
        <v>14</v>
      </c>
      <c r="E154" s="5" t="s">
        <v>10</v>
      </c>
      <c r="F154" s="5" t="s">
        <v>56</v>
      </c>
      <c r="G154" s="5" t="s">
        <v>14</v>
      </c>
    </row>
    <row r="155" spans="1:7" ht="21" customHeight="1" x14ac:dyDescent="0.25">
      <c r="A155" s="2" t="s">
        <v>397</v>
      </c>
      <c r="B155" s="3" t="s">
        <v>398</v>
      </c>
      <c r="C155" s="4" t="s">
        <v>399</v>
      </c>
      <c r="D155" s="5" t="s">
        <v>14</v>
      </c>
      <c r="E155" s="5" t="s">
        <v>10</v>
      </c>
      <c r="F155" s="5" t="s">
        <v>56</v>
      </c>
      <c r="G155" s="5" t="s">
        <v>14</v>
      </c>
    </row>
    <row r="156" spans="1:7" ht="21" customHeight="1" x14ac:dyDescent="0.25">
      <c r="A156" s="2" t="s">
        <v>400</v>
      </c>
      <c r="B156" s="3" t="s">
        <v>401</v>
      </c>
      <c r="C156" s="4" t="s">
        <v>402</v>
      </c>
      <c r="D156" s="5" t="s">
        <v>14</v>
      </c>
      <c r="E156" s="5" t="s">
        <v>14</v>
      </c>
      <c r="F156" s="5" t="s">
        <v>14</v>
      </c>
      <c r="G156" s="5" t="s">
        <v>14</v>
      </c>
    </row>
    <row r="157" spans="1:7" ht="21" customHeight="1" x14ac:dyDescent="0.25">
      <c r="A157" s="2" t="s">
        <v>403</v>
      </c>
      <c r="B157" s="3" t="s">
        <v>404</v>
      </c>
      <c r="C157" s="4" t="s">
        <v>405</v>
      </c>
      <c r="D157" s="5" t="s">
        <v>14</v>
      </c>
      <c r="E157" s="5" t="s">
        <v>56</v>
      </c>
      <c r="F157" s="5" t="s">
        <v>14</v>
      </c>
      <c r="G157" s="5" t="s">
        <v>14</v>
      </c>
    </row>
    <row r="158" spans="1:7" ht="21" customHeight="1" x14ac:dyDescent="0.25">
      <c r="A158" s="8"/>
      <c r="B158" s="9"/>
      <c r="C158" s="10"/>
      <c r="D158" s="8"/>
      <c r="E158" s="8"/>
      <c r="F158" s="8"/>
      <c r="G158" s="8"/>
    </row>
    <row r="159" spans="1:7" ht="21" customHeight="1" x14ac:dyDescent="0.25">
      <c r="A159" s="8"/>
      <c r="B159" s="9"/>
      <c r="C159" s="10"/>
      <c r="D159" s="8"/>
      <c r="E159" s="8"/>
      <c r="F159" s="8"/>
      <c r="G159" s="8"/>
    </row>
    <row r="160" spans="1:7" ht="21" customHeight="1" x14ac:dyDescent="0.25">
      <c r="A160" s="8"/>
      <c r="B160" s="9"/>
      <c r="C160" s="10"/>
      <c r="D160" s="8"/>
      <c r="E160" s="8"/>
      <c r="F160" s="8"/>
      <c r="G160" s="8"/>
    </row>
    <row r="161" spans="1:7" ht="21" customHeight="1" x14ac:dyDescent="0.25">
      <c r="A161" s="8"/>
      <c r="B161" s="9"/>
      <c r="C161" s="10"/>
      <c r="D161" s="8"/>
      <c r="E161" s="8"/>
      <c r="F161" s="8"/>
      <c r="G161" s="8"/>
    </row>
    <row r="162" spans="1:7" ht="21" customHeight="1" x14ac:dyDescent="0.25">
      <c r="A162" s="8"/>
      <c r="B162" s="9"/>
      <c r="C162" s="10"/>
      <c r="D162" s="8"/>
      <c r="E162" s="8"/>
      <c r="F162" s="8"/>
      <c r="G162" s="8"/>
    </row>
    <row r="163" spans="1:7" ht="21" customHeight="1" x14ac:dyDescent="0.25">
      <c r="A163" s="8"/>
      <c r="B163" s="9"/>
      <c r="C163" s="10"/>
      <c r="D163" s="8"/>
      <c r="E163" s="8"/>
      <c r="F163" s="8"/>
      <c r="G163" s="8"/>
    </row>
    <row r="164" spans="1:7" ht="21" customHeight="1" x14ac:dyDescent="0.25">
      <c r="A164" s="8"/>
      <c r="B164" s="9"/>
      <c r="C164" s="10"/>
      <c r="D164" s="8"/>
      <c r="E164" s="8"/>
      <c r="F164" s="8"/>
      <c r="G164" s="8"/>
    </row>
    <row r="165" spans="1:7" ht="21" customHeight="1" x14ac:dyDescent="0.25">
      <c r="A165" s="8"/>
      <c r="B165" s="9"/>
      <c r="C165" s="10"/>
      <c r="D165" s="8"/>
      <c r="E165" s="8"/>
      <c r="F165" s="8"/>
      <c r="G165" s="8"/>
    </row>
    <row r="166" spans="1:7" ht="21" customHeight="1" x14ac:dyDescent="0.25">
      <c r="A166" s="8"/>
      <c r="B166" s="9"/>
      <c r="C166" s="10"/>
      <c r="D166" s="8"/>
      <c r="E166" s="8"/>
      <c r="F166" s="8"/>
      <c r="G166" s="8"/>
    </row>
    <row r="167" spans="1:7" ht="21" customHeight="1" x14ac:dyDescent="0.25">
      <c r="A167" s="8"/>
      <c r="B167" s="9"/>
      <c r="C167" s="10"/>
      <c r="D167" s="8"/>
      <c r="E167" s="8"/>
      <c r="F167" s="8"/>
      <c r="G167" s="8"/>
    </row>
    <row r="168" spans="1:7" ht="21" customHeight="1" x14ac:dyDescent="0.25">
      <c r="A168" s="8"/>
      <c r="B168" s="9"/>
      <c r="C168" s="10"/>
      <c r="D168" s="8"/>
      <c r="E168" s="8"/>
      <c r="F168" s="8"/>
      <c r="G168" s="8"/>
    </row>
    <row r="169" spans="1:7" ht="21" customHeight="1" x14ac:dyDescent="0.25">
      <c r="A169" s="8"/>
      <c r="B169" s="9"/>
      <c r="C169" s="10"/>
      <c r="D169" s="8"/>
      <c r="E169" s="8"/>
      <c r="F169" s="8"/>
      <c r="G169" s="8"/>
    </row>
    <row r="170" spans="1:7" ht="21" customHeight="1" x14ac:dyDescent="0.25">
      <c r="A170" s="8"/>
      <c r="B170" s="9"/>
      <c r="C170" s="10"/>
      <c r="D170" s="8"/>
      <c r="E170" s="8"/>
      <c r="F170" s="8"/>
      <c r="G170" s="8"/>
    </row>
    <row r="171" spans="1:7" ht="21" customHeight="1" x14ac:dyDescent="0.25">
      <c r="A171" s="8"/>
      <c r="B171" s="9"/>
      <c r="C171" s="10"/>
      <c r="D171" s="8"/>
      <c r="E171" s="8"/>
      <c r="F171" s="8"/>
      <c r="G171" s="8"/>
    </row>
    <row r="172" spans="1:7" ht="21" customHeight="1" x14ac:dyDescent="0.25">
      <c r="A172" s="8"/>
      <c r="B172" s="9"/>
      <c r="C172" s="10"/>
      <c r="D172" s="8"/>
      <c r="E172" s="8"/>
      <c r="F172" s="8"/>
      <c r="G172" s="8"/>
    </row>
    <row r="173" spans="1:7" ht="21" customHeight="1" x14ac:dyDescent="0.25">
      <c r="A173" s="8"/>
      <c r="B173" s="9"/>
      <c r="C173" s="10"/>
      <c r="D173" s="8"/>
      <c r="E173" s="8"/>
      <c r="F173" s="8"/>
      <c r="G173" s="8"/>
    </row>
    <row r="174" spans="1:7" ht="21" customHeight="1" x14ac:dyDescent="0.25">
      <c r="A174" s="8"/>
      <c r="B174" s="9"/>
      <c r="C174" s="10"/>
      <c r="D174" s="8"/>
      <c r="E174" s="8"/>
      <c r="F174" s="8"/>
      <c r="G174" s="8"/>
    </row>
    <row r="175" spans="1:7" ht="21" customHeight="1" x14ac:dyDescent="0.25">
      <c r="A175" s="8"/>
      <c r="B175" s="9"/>
      <c r="C175" s="10"/>
      <c r="D175" s="8"/>
      <c r="E175" s="8"/>
      <c r="F175" s="8"/>
      <c r="G175" s="8"/>
    </row>
    <row r="176" spans="1:7" ht="21" customHeight="1" x14ac:dyDescent="0.25">
      <c r="A176" s="8"/>
      <c r="B176" s="9"/>
      <c r="C176" s="10"/>
      <c r="D176" s="8"/>
      <c r="E176" s="8"/>
      <c r="F176" s="8"/>
      <c r="G176" s="8"/>
    </row>
    <row r="177" spans="1:7" ht="21" customHeight="1" x14ac:dyDescent="0.25">
      <c r="A177" s="8"/>
      <c r="B177" s="9"/>
      <c r="C177" s="10"/>
      <c r="D177" s="8"/>
      <c r="E177" s="8"/>
      <c r="F177" s="8"/>
      <c r="G177" s="8"/>
    </row>
    <row r="178" spans="1:7" ht="21" customHeight="1" x14ac:dyDescent="0.25">
      <c r="A178" s="8"/>
      <c r="B178" s="9"/>
      <c r="C178" s="10"/>
      <c r="D178" s="8"/>
      <c r="E178" s="8"/>
      <c r="F178" s="8"/>
      <c r="G178" s="8"/>
    </row>
    <row r="179" spans="1:7" ht="21" customHeight="1" x14ac:dyDescent="0.25">
      <c r="A179" s="8"/>
      <c r="B179" s="9"/>
      <c r="C179" s="10"/>
      <c r="D179" s="8"/>
      <c r="E179" s="8"/>
      <c r="F179" s="8"/>
      <c r="G179" s="8"/>
    </row>
    <row r="180" spans="1:7" ht="21" customHeight="1" x14ac:dyDescent="0.25">
      <c r="A180" s="8"/>
      <c r="B180" s="9"/>
      <c r="C180" s="10"/>
      <c r="D180" s="8"/>
      <c r="E180" s="8"/>
      <c r="F180" s="8"/>
      <c r="G180" s="8"/>
    </row>
    <row r="181" spans="1:7" ht="21" customHeight="1" x14ac:dyDescent="0.25">
      <c r="A181" s="8"/>
      <c r="B181" s="9"/>
      <c r="C181" s="10"/>
      <c r="D181" s="8"/>
      <c r="E181" s="8"/>
      <c r="F181" s="8"/>
      <c r="G181" s="8"/>
    </row>
    <row r="182" spans="1:7" ht="21" customHeight="1" x14ac:dyDescent="0.25">
      <c r="A182" s="8"/>
      <c r="B182" s="9"/>
      <c r="C182" s="10"/>
      <c r="D182" s="8"/>
      <c r="E182" s="8"/>
      <c r="F182" s="8"/>
      <c r="G182" s="8"/>
    </row>
    <row r="183" spans="1:7" ht="21" customHeight="1" x14ac:dyDescent="0.25">
      <c r="A183" s="8"/>
      <c r="B183" s="9"/>
      <c r="C183" s="10"/>
      <c r="D183" s="8"/>
      <c r="E183" s="8"/>
      <c r="F183" s="8"/>
      <c r="G183" s="8"/>
    </row>
    <row r="184" spans="1:7" ht="21" customHeight="1" x14ac:dyDescent="0.25">
      <c r="A184" s="8"/>
      <c r="B184" s="9"/>
      <c r="C184" s="10"/>
      <c r="D184" s="8"/>
      <c r="E184" s="8"/>
      <c r="F184" s="8"/>
      <c r="G184" s="8"/>
    </row>
    <row r="185" spans="1:7" ht="21" customHeight="1" x14ac:dyDescent="0.25">
      <c r="A185" s="8"/>
      <c r="B185" s="9"/>
      <c r="C185" s="10"/>
      <c r="D185" s="8"/>
      <c r="E185" s="8"/>
      <c r="F185" s="8"/>
      <c r="G185" s="8"/>
    </row>
    <row r="186" spans="1:7" ht="21" customHeight="1" x14ac:dyDescent="0.25">
      <c r="A186" s="8"/>
      <c r="B186" s="9"/>
      <c r="C186" s="10"/>
      <c r="D186" s="8"/>
      <c r="E186" s="8"/>
      <c r="F186" s="8"/>
      <c r="G186" s="8"/>
    </row>
    <row r="187" spans="1:7" ht="21" customHeight="1" x14ac:dyDescent="0.25">
      <c r="A187" s="8"/>
      <c r="B187" s="9"/>
      <c r="C187" s="10"/>
      <c r="D187" s="8"/>
      <c r="E187" s="8"/>
      <c r="F187" s="8"/>
      <c r="G187" s="8"/>
    </row>
    <row r="188" spans="1:7" ht="21" customHeight="1" x14ac:dyDescent="0.25">
      <c r="A188" s="8"/>
      <c r="B188" s="9"/>
      <c r="C188" s="10"/>
      <c r="D188" s="8"/>
      <c r="E188" s="8"/>
      <c r="F188" s="8"/>
      <c r="G188" s="8"/>
    </row>
    <row r="189" spans="1:7" ht="21" customHeight="1" x14ac:dyDescent="0.25">
      <c r="A189" s="8"/>
      <c r="B189" s="9"/>
      <c r="C189" s="10"/>
      <c r="D189" s="8"/>
      <c r="E189" s="8"/>
      <c r="F189" s="8"/>
      <c r="G189" s="8"/>
    </row>
    <row r="190" spans="1:7" ht="21" customHeight="1" x14ac:dyDescent="0.25">
      <c r="A190" s="8"/>
      <c r="B190" s="9"/>
      <c r="C190" s="10"/>
      <c r="D190" s="8"/>
      <c r="E190" s="8"/>
      <c r="F190" s="8"/>
      <c r="G190" s="8"/>
    </row>
    <row r="191" spans="1:7" ht="21" customHeight="1" x14ac:dyDescent="0.25">
      <c r="A191" s="8"/>
      <c r="B191" s="9"/>
      <c r="C191" s="10"/>
      <c r="D191" s="8"/>
      <c r="E191" s="8"/>
      <c r="F191" s="8"/>
      <c r="G191" s="8"/>
    </row>
    <row r="192" spans="1:7" ht="21" customHeight="1" x14ac:dyDescent="0.25">
      <c r="A192" s="8"/>
      <c r="B192" s="9"/>
      <c r="C192" s="10"/>
      <c r="D192" s="8"/>
      <c r="E192" s="8"/>
      <c r="F192" s="8"/>
      <c r="G192" s="8"/>
    </row>
    <row r="193" spans="1:7" ht="21" customHeight="1" x14ac:dyDescent="0.25">
      <c r="A193" s="8"/>
      <c r="B193" s="9"/>
      <c r="C193" s="10"/>
      <c r="D193" s="8"/>
      <c r="E193" s="8"/>
      <c r="F193" s="8"/>
      <c r="G193" s="8"/>
    </row>
    <row r="194" spans="1:7" ht="21" customHeight="1" x14ac:dyDescent="0.25">
      <c r="A194" s="8"/>
      <c r="B194" s="9"/>
      <c r="C194" s="10"/>
      <c r="D194" s="8"/>
      <c r="E194" s="8"/>
      <c r="F194" s="8"/>
      <c r="G194" s="8"/>
    </row>
    <row r="195" spans="1:7" ht="21" customHeight="1" x14ac:dyDescent="0.25">
      <c r="A195" s="8"/>
      <c r="B195" s="9"/>
      <c r="C195" s="10"/>
      <c r="D195" s="8"/>
      <c r="E195" s="8"/>
      <c r="F195" s="8"/>
      <c r="G195" s="8"/>
    </row>
    <row r="196" spans="1:7" ht="21" customHeight="1" x14ac:dyDescent="0.25">
      <c r="A196" s="8"/>
      <c r="B196" s="9"/>
      <c r="C196" s="10"/>
      <c r="D196" s="8"/>
      <c r="E196" s="8"/>
      <c r="F196" s="8"/>
      <c r="G196" s="8"/>
    </row>
    <row r="197" spans="1:7" ht="21" customHeight="1" x14ac:dyDescent="0.25">
      <c r="A197" s="8"/>
      <c r="B197" s="9"/>
      <c r="C197" s="10"/>
      <c r="D197" s="8"/>
      <c r="E197" s="8"/>
      <c r="F197" s="8"/>
      <c r="G197" s="8"/>
    </row>
  </sheetData>
  <conditionalFormatting sqref="D2:G197">
    <cfRule type="cellIs" dxfId="3" priority="2" operator="equal">
      <formula>"MALICIOUS"</formula>
    </cfRule>
    <cfRule type="cellIs" dxfId="2" priority="3" operator="equal">
      <formula>"BENIGN"</formula>
    </cfRule>
    <cfRule type="cellIs" dxfId="1" priority="4" operator="equal">
      <formula>"SUSPICIOUS"</formula>
    </cfRule>
    <cfRule type="cellIs" dxfId="0" priority="5" operator="equal">
      <formula>"NOT TESTED"</formula>
    </cfRule>
  </conditionalFormatting>
  <dataValidations count="3">
    <dataValidation type="list" allowBlank="1" sqref="F2:G197" xr:uid="{00000000-0002-0000-0000-000000000000}">
      <formula1>"MALICIOUS,BENIGN,SUSPICIOUS,NOT TESTED"</formula1>
      <formula2>0</formula2>
    </dataValidation>
    <dataValidation type="list" allowBlank="1" sqref="D2:D197" xr:uid="{00000000-0002-0000-0000-000002000000}">
      <formula1>"MALICIOUS,BENIGN"</formula1>
      <formula2>0</formula2>
    </dataValidation>
    <dataValidation type="list" allowBlank="1" sqref="E2:E197" xr:uid="{00000000-0002-0000-0000-000003000000}">
      <formula1>"MALICIOUS,BENIGN,SUSPICIOUS"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C25"/>
  <sheetViews>
    <sheetView showGridLines="0" tabSelected="1" zoomScaleNormal="100" workbookViewId="0">
      <selection activeCell="I2" sqref="I2"/>
    </sheetView>
  </sheetViews>
  <sheetFormatPr defaultColWidth="12.6640625" defaultRowHeight="13.2" x14ac:dyDescent="0.25"/>
  <cols>
    <col min="1" max="1" width="24" customWidth="1"/>
    <col min="2" max="3" width="32" customWidth="1"/>
  </cols>
  <sheetData>
    <row r="1" spans="1:3" ht="24" customHeight="1" x14ac:dyDescent="0.3">
      <c r="A1" s="11" t="s">
        <v>420</v>
      </c>
    </row>
    <row r="2" spans="1:3" ht="30" customHeight="1" x14ac:dyDescent="0.25">
      <c r="A2" s="12" t="s">
        <v>406</v>
      </c>
      <c r="B2" s="1" t="s">
        <v>407</v>
      </c>
      <c r="C2" s="1" t="s">
        <v>408</v>
      </c>
    </row>
    <row r="3" spans="1:3" ht="19.5" customHeight="1" x14ac:dyDescent="0.25">
      <c r="A3" s="13" t="s">
        <v>409</v>
      </c>
      <c r="B3" s="5">
        <f>COUNTIFS(Tests!D:D, "MALICIOUS", Tests!E:E, "MALICIOUS") + COUNTIFS(Tests!D:D, "MALICIOUS", Tests!E:E, "SUSPICIOUS")</f>
        <v>75</v>
      </c>
      <c r="C3" s="5">
        <f>COUNTIFS(Tests!D:D, "MALICIOUS", Tests!E:E, "MALICIOUS")</f>
        <v>74</v>
      </c>
    </row>
    <row r="4" spans="1:3" ht="19.5" customHeight="1" x14ac:dyDescent="0.25">
      <c r="A4" s="13" t="s">
        <v>410</v>
      </c>
      <c r="B4" s="5">
        <f>COUNTIFS(Tests!D:D, "BENIGN", Tests!E:E, "BENIGN")</f>
        <v>53</v>
      </c>
      <c r="C4" s="5">
        <f>COUNTIFS(Tests!D:D, "BENIGN", Tests!E:E, "BENIGN") + COUNTIFS(Tests!D:D, "BENIGN", Tests!E:E, "SUSPICIOUS")</f>
        <v>61</v>
      </c>
    </row>
    <row r="5" spans="1:3" ht="19.5" customHeight="1" x14ac:dyDescent="0.25">
      <c r="A5" s="13" t="s">
        <v>411</v>
      </c>
      <c r="B5" s="5">
        <f>COUNTIFS(Tests!D:D, "BENIGN", Tests!E:E, "MALICIOUS") + COUNTIFS(Tests!D:D, "BENIGN", Tests!E:E, "SUSPICIOUS")</f>
        <v>22</v>
      </c>
      <c r="C5" s="5">
        <f>COUNTIFS(Tests!D:D, "BENIGN", Tests!E:E, "MALICIOUS")</f>
        <v>14</v>
      </c>
    </row>
    <row r="6" spans="1:3" ht="19.5" customHeight="1" x14ac:dyDescent="0.25">
      <c r="A6" s="13" t="s">
        <v>412</v>
      </c>
      <c r="B6" s="5">
        <f>COUNTIFS(Tests!D:D, "MALICIOUS", Tests!E:E, "BENIGN")</f>
        <v>0</v>
      </c>
      <c r="C6" s="5">
        <f>COUNTIFS(Tests!D:D, "MALICIOUS", Tests!E:E, "BENIGN") + COUNTIFS(Tests!D:D, "MALICIOUS", Tests!E:E, "SUSPICIOUS")</f>
        <v>1</v>
      </c>
    </row>
    <row r="8" spans="1:3" ht="24" customHeight="1" x14ac:dyDescent="0.3">
      <c r="A8" s="11" t="s">
        <v>413</v>
      </c>
    </row>
    <row r="9" spans="1:3" ht="30" customHeight="1" x14ac:dyDescent="0.25">
      <c r="A9" s="12" t="s">
        <v>406</v>
      </c>
      <c r="B9" s="1" t="s">
        <v>407</v>
      </c>
      <c r="C9" s="1" t="s">
        <v>408</v>
      </c>
    </row>
    <row r="10" spans="1:3" ht="19.5" customHeight="1" x14ac:dyDescent="0.25">
      <c r="A10" s="13" t="s">
        <v>409</v>
      </c>
      <c r="B10" s="5">
        <f>COUNTIFS(Tests!D:D, "MALICIOUS", Tests!F:F, "MALICIOUS") + COUNTIFS(Tests!D:D, "MALICIOUS", Tests!F:F, "SUSPICIOUS")</f>
        <v>71</v>
      </c>
      <c r="C10" s="5">
        <f>COUNTIFS(Tests!D:D, "MALICIOUS", Tests!F:F, "MALICIOUS")</f>
        <v>71</v>
      </c>
    </row>
    <row r="11" spans="1:3" ht="19.5" customHeight="1" x14ac:dyDescent="0.25">
      <c r="A11" s="13" t="s">
        <v>410</v>
      </c>
      <c r="B11" s="5">
        <f>COUNTIFS(Tests!D:D, "BENIGN", Tests!F:F, "BENIGN")</f>
        <v>65</v>
      </c>
      <c r="C11" s="5">
        <f>COUNTIFS(Tests!D:D, "BENIGN", Tests!F:F, "BENIGN") + COUNTIFS(Tests!D:D, "BENIGN", Tests!F:F, "SUSPICIOUS")</f>
        <v>71</v>
      </c>
    </row>
    <row r="12" spans="1:3" ht="19.5" customHeight="1" x14ac:dyDescent="0.25">
      <c r="A12" s="13" t="s">
        <v>411</v>
      </c>
      <c r="B12" s="5">
        <f>COUNTIFS(Tests!D:D, "BENIGN", Tests!F:F, "MALICIOUS") + COUNTIFS(Tests!D:D, "BENIGN", Tests!F:F, "SUSPICIOUS")</f>
        <v>10</v>
      </c>
      <c r="C12" s="5">
        <f>COUNTIFS(Tests!D:D, "BENIGN", Tests!F:F, "MALICIOUS")</f>
        <v>4</v>
      </c>
    </row>
    <row r="13" spans="1:3" ht="19.5" customHeight="1" x14ac:dyDescent="0.25">
      <c r="A13" s="13" t="s">
        <v>412</v>
      </c>
      <c r="B13" s="5">
        <f>COUNTIFS(Tests!D:D, "MALICIOUS", Tests!F:F, "BENIGN")</f>
        <v>4</v>
      </c>
      <c r="C13" s="5">
        <f>COUNTIFS(Tests!D:D, "MALICIOUS", Tests!F:F, "BENIGN") + COUNTIFS(Tests!D:D, "MALICIOUS", Tests!F:F, "SUSPICIOUS")</f>
        <v>4</v>
      </c>
    </row>
    <row r="15" spans="1:3" ht="24" customHeight="1" x14ac:dyDescent="0.3">
      <c r="A15" s="11" t="s">
        <v>414</v>
      </c>
    </row>
    <row r="16" spans="1:3" ht="30" customHeight="1" x14ac:dyDescent="0.25">
      <c r="A16" s="12" t="s">
        <v>406</v>
      </c>
      <c r="B16" s="1" t="s">
        <v>407</v>
      </c>
      <c r="C16" s="1" t="s">
        <v>408</v>
      </c>
    </row>
    <row r="17" spans="1:3" ht="19.5" customHeight="1" x14ac:dyDescent="0.25">
      <c r="A17" s="13" t="s">
        <v>409</v>
      </c>
      <c r="B17" s="5">
        <f>COUNTIFS(Tests!D:D, "MALICIOUS", Tests!G:G, "MALICIOUS") + COUNTIFS(Tests!D:D, "MALICIOUS", Tests!G:G, "SUSPICIOUS")</f>
        <v>73</v>
      </c>
      <c r="C17" s="5">
        <f>COUNTIFS(Tests!D:D, "MALICIOUS", Tests!G:G, "MALICIOUS")</f>
        <v>72</v>
      </c>
    </row>
    <row r="18" spans="1:3" ht="19.5" customHeight="1" x14ac:dyDescent="0.25">
      <c r="A18" s="13" t="s">
        <v>410</v>
      </c>
      <c r="B18" s="5">
        <f>COUNTIFS(Tests!D:D, "BENIGN", Tests!G:G, "BENIGN")</f>
        <v>71</v>
      </c>
      <c r="C18" s="5">
        <f>COUNTIFS(Tests!D:D, "BENIGN", Tests!G:G, "BENIGN") + COUNTIFS(Tests!D:D, "BENIGN", Tests!G:G, "SUSPICIOUS")</f>
        <v>73</v>
      </c>
    </row>
    <row r="19" spans="1:3" ht="19.5" customHeight="1" x14ac:dyDescent="0.25">
      <c r="A19" s="13" t="s">
        <v>411</v>
      </c>
      <c r="B19" s="5">
        <f>COUNTIFS(Tests!D:D, "BENIGN", Tests!G:G, "MALICIOUS") + COUNTIFS(Tests!D:D, "BENIGN", Tests!G:G, "SUSPICIOUS")</f>
        <v>4</v>
      </c>
      <c r="C19" s="5">
        <f>COUNTIFS(Tests!D:D, "BENIGN", Tests!G:G, "MALICIOUS")</f>
        <v>2</v>
      </c>
    </row>
    <row r="20" spans="1:3" ht="19.5" customHeight="1" x14ac:dyDescent="0.25">
      <c r="A20" s="13" t="s">
        <v>412</v>
      </c>
      <c r="B20" s="5">
        <f>COUNTIFS(Tests!D:D, "MALICIOUS", Tests!G:G, "BENIGN")</f>
        <v>2</v>
      </c>
      <c r="C20" s="5">
        <f>COUNTIFS(Tests!D:D, "MALICIOUS", Tests!G:G, "BENIGN") + COUNTIFS(Tests!D:D, "MALICIOUS", Tests!G:G, "SUSPICIOUS")</f>
        <v>3</v>
      </c>
    </row>
    <row r="22" spans="1:3" x14ac:dyDescent="0.25">
      <c r="A22" s="14" t="s">
        <v>415</v>
      </c>
    </row>
    <row r="23" spans="1:3" x14ac:dyDescent="0.25">
      <c r="A23" s="15" t="s">
        <v>416</v>
      </c>
    </row>
    <row r="24" spans="1:3" x14ac:dyDescent="0.25">
      <c r="A24" s="15" t="s">
        <v>417</v>
      </c>
    </row>
    <row r="25" spans="1:3" x14ac:dyDescent="0.25">
      <c r="A25" s="15" t="s">
        <v>418</v>
      </c>
    </row>
  </sheetData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29"/>
  <sheetViews>
    <sheetView showGridLines="0" zoomScaleNormal="100" workbookViewId="0"/>
  </sheetViews>
  <sheetFormatPr defaultColWidth="8.6640625" defaultRowHeight="13.2" x14ac:dyDescent="0.25"/>
  <cols>
    <col min="1" max="1" width="58" customWidth="1"/>
    <col min="2" max="7" width="12" customWidth="1"/>
  </cols>
  <sheetData>
    <row r="1" spans="1:7" ht="24" customHeight="1" x14ac:dyDescent="0.3">
      <c r="A1" s="11" t="s">
        <v>419</v>
      </c>
    </row>
    <row r="2" spans="1:7" x14ac:dyDescent="0.25">
      <c r="A2" s="27" t="s">
        <v>406</v>
      </c>
      <c r="B2" s="28" t="s">
        <v>420</v>
      </c>
      <c r="C2" s="28"/>
      <c r="D2" s="28" t="s">
        <v>413</v>
      </c>
      <c r="E2" s="28"/>
      <c r="F2" s="28" t="s">
        <v>414</v>
      </c>
      <c r="G2" s="28"/>
    </row>
    <row r="3" spans="1:7" x14ac:dyDescent="0.25">
      <c r="A3" s="27"/>
      <c r="B3" s="16" t="s">
        <v>421</v>
      </c>
      <c r="C3" s="16" t="s">
        <v>422</v>
      </c>
      <c r="D3" s="16" t="s">
        <v>421</v>
      </c>
      <c r="E3" s="16" t="s">
        <v>422</v>
      </c>
      <c r="F3" s="16" t="s">
        <v>421</v>
      </c>
      <c r="G3" s="16" t="s">
        <v>422</v>
      </c>
    </row>
    <row r="4" spans="1:7" ht="19.5" customHeight="1" x14ac:dyDescent="0.25">
      <c r="A4" s="17" t="s">
        <v>423</v>
      </c>
      <c r="B4" s="18">
        <f>COUNTIF(Tests!$D:$D,"BENIGN")</f>
        <v>75</v>
      </c>
      <c r="C4" s="19">
        <f>IF(B$4=0,0,B4/B$4)</f>
        <v>1</v>
      </c>
      <c r="D4" s="18">
        <f>COUNTIF(Tests!$D:$D,"BENIGN")</f>
        <v>75</v>
      </c>
      <c r="E4" s="19">
        <f>IF(D$4=0,0,D4/D$4)</f>
        <v>1</v>
      </c>
      <c r="F4" s="18">
        <f>COUNTIF(Tests!$D:$D,"BENIGN")</f>
        <v>75</v>
      </c>
      <c r="G4" s="19">
        <f>IF(F$4=0,0,F4/F$4)</f>
        <v>1</v>
      </c>
    </row>
    <row r="5" spans="1:7" ht="19.5" customHeight="1" x14ac:dyDescent="0.25">
      <c r="A5" s="17" t="s">
        <v>424</v>
      </c>
      <c r="B5" s="18">
        <f>COUNTIFS(Tests!$D:$D,"BENIGN",Tests!$E:$E,"BENIGN")</f>
        <v>53</v>
      </c>
      <c r="C5" s="19">
        <f>IF(B$4=0,0,B5/B$4)</f>
        <v>0.70666666666666667</v>
      </c>
      <c r="D5" s="18">
        <f>COUNTIFS(Tests!$D:$D,"BENIGN",Tests!$F:$F,"BENIGN")</f>
        <v>65</v>
      </c>
      <c r="E5" s="19">
        <f>IF(D$4=0,0,D5/D$4)</f>
        <v>0.8666666666666667</v>
      </c>
      <c r="F5" s="18">
        <f>COUNTIFS(Tests!$D:$D,"BENIGN",Tests!$G:$G,"BENIGN")</f>
        <v>71</v>
      </c>
      <c r="G5" s="19">
        <f>IF(F$4=0,0,F5/F$4)</f>
        <v>0.94666666666666666</v>
      </c>
    </row>
    <row r="6" spans="1:7" ht="19.5" customHeight="1" x14ac:dyDescent="0.25">
      <c r="A6" s="17" t="s">
        <v>425</v>
      </c>
      <c r="B6" s="18">
        <f>B7+B8</f>
        <v>22</v>
      </c>
      <c r="C6" s="19">
        <f>IF(B$4=0,0,B6/B$4)</f>
        <v>0.29333333333333333</v>
      </c>
      <c r="D6" s="18">
        <f>D7+D8</f>
        <v>10</v>
      </c>
      <c r="E6" s="19">
        <f>IF(D$4=0,0,D6/D$4)</f>
        <v>0.13333333333333333</v>
      </c>
      <c r="F6" s="18">
        <f>F7+F8</f>
        <v>4</v>
      </c>
      <c r="G6" s="19">
        <f>IF(F$4=0,0,F6/F$4)</f>
        <v>5.3333333333333337E-2</v>
      </c>
    </row>
    <row r="7" spans="1:7" ht="19.5" customHeight="1" x14ac:dyDescent="0.25">
      <c r="A7" s="20" t="s">
        <v>426</v>
      </c>
      <c r="B7" s="21">
        <f>COUNTIFS(Tests!$D:$D,"BENIGN",Tests!$E:$E,"SUSPICIOUS")</f>
        <v>8</v>
      </c>
      <c r="C7" s="22">
        <f>IF(B$4=0,0,B7/B$4)</f>
        <v>0.10666666666666667</v>
      </c>
      <c r="D7" s="21">
        <f>COUNTIFS(Tests!$D:$D,"BENIGN",Tests!$F:$F,"SUSPICIOUS")</f>
        <v>6</v>
      </c>
      <c r="E7" s="22">
        <f>IF(D$4=0,0,D7/D$4)</f>
        <v>0.08</v>
      </c>
      <c r="F7" s="21">
        <f>COUNTIFS(Tests!$D:$D,"BENIGN",Tests!$G:$G,"SUSPICIOUS")</f>
        <v>2</v>
      </c>
      <c r="G7" s="22">
        <f>IF(F$4=0,0,F7/F$4)</f>
        <v>2.6666666666666668E-2</v>
      </c>
    </row>
    <row r="8" spans="1:7" ht="19.5" customHeight="1" x14ac:dyDescent="0.25">
      <c r="A8" s="20" t="s">
        <v>427</v>
      </c>
      <c r="B8" s="21">
        <f>COUNTIFS(Tests!$D:$D,"BENIGN",Tests!$E:$E,"MALICIOUS")</f>
        <v>14</v>
      </c>
      <c r="C8" s="22">
        <f>IF(B$4=0,0,B8/B$4)</f>
        <v>0.18666666666666668</v>
      </c>
      <c r="D8" s="21">
        <f>COUNTIFS(Tests!$D:$D,"BENIGN",Tests!$F:$F,"MALICIOUS")</f>
        <v>4</v>
      </c>
      <c r="E8" s="22">
        <f>IF(D$4=0,0,D8/D$4)</f>
        <v>5.3333333333333337E-2</v>
      </c>
      <c r="F8" s="21">
        <f>COUNTIFS(Tests!$D:$D,"BENIGN",Tests!$G:$G,"MALICIOUS")</f>
        <v>2</v>
      </c>
      <c r="G8" s="22">
        <f>IF(F$4=0,0,F8/F$4)</f>
        <v>2.6666666666666668E-2</v>
      </c>
    </row>
    <row r="11" spans="1:7" ht="24" customHeight="1" x14ac:dyDescent="0.3">
      <c r="A11" s="11" t="s">
        <v>428</v>
      </c>
    </row>
    <row r="12" spans="1:7" x14ac:dyDescent="0.25">
      <c r="A12" s="27" t="s">
        <v>406</v>
      </c>
      <c r="B12" s="28" t="s">
        <v>420</v>
      </c>
      <c r="C12" s="28"/>
      <c r="D12" s="28" t="s">
        <v>413</v>
      </c>
      <c r="E12" s="28"/>
      <c r="F12" s="28" t="s">
        <v>414</v>
      </c>
      <c r="G12" s="28"/>
    </row>
    <row r="13" spans="1:7" x14ac:dyDescent="0.25">
      <c r="A13" s="27"/>
      <c r="B13" s="16" t="s">
        <v>421</v>
      </c>
      <c r="C13" s="16" t="s">
        <v>422</v>
      </c>
      <c r="D13" s="16" t="s">
        <v>421</v>
      </c>
      <c r="E13" s="16" t="s">
        <v>422</v>
      </c>
      <c r="F13" s="16" t="s">
        <v>421</v>
      </c>
      <c r="G13" s="16" t="s">
        <v>422</v>
      </c>
    </row>
    <row r="14" spans="1:7" ht="19.5" customHeight="1" x14ac:dyDescent="0.25">
      <c r="A14" s="17" t="s">
        <v>429</v>
      </c>
      <c r="B14" s="18">
        <f>COUNTIF(Tests!$D:$D,"MALICIOUS")</f>
        <v>75</v>
      </c>
      <c r="C14" s="19">
        <f>IF(B$14=0,0,B14/B$14)</f>
        <v>1</v>
      </c>
      <c r="D14" s="18">
        <f>COUNTIF(Tests!$D:$D,"MALICIOUS")</f>
        <v>75</v>
      </c>
      <c r="E14" s="19">
        <f>IF(D$14=0,0,D14/D$14)</f>
        <v>1</v>
      </c>
      <c r="F14" s="18">
        <f>COUNTIF(Tests!$D:$D,"MALICIOUS")</f>
        <v>75</v>
      </c>
      <c r="G14" s="19">
        <f>IF(F$14=0,0,F14/F$14)</f>
        <v>1</v>
      </c>
    </row>
    <row r="15" spans="1:7" ht="19.5" customHeight="1" x14ac:dyDescent="0.25">
      <c r="A15" s="17" t="s">
        <v>430</v>
      </c>
      <c r="B15" s="18">
        <f>COUNTIFS(Tests!$D:$D,"MALICIOUS",Tests!$E:$E,"MALICIOUS")</f>
        <v>74</v>
      </c>
      <c r="C15" s="19">
        <f>IF(B$14=0,0,B15/B$14)</f>
        <v>0.98666666666666669</v>
      </c>
      <c r="D15" s="18">
        <f>COUNTIFS(Tests!$D:$D,"MALICIOUS",Tests!$F:$F,"MALICIOUS")</f>
        <v>71</v>
      </c>
      <c r="E15" s="19">
        <f>IF(D$14=0,0,D15/D$14)</f>
        <v>0.94666666666666666</v>
      </c>
      <c r="F15" s="18">
        <f>COUNTIFS(Tests!$D:$D,"MALICIOUS",Tests!$G:$G,"MALICIOUS")</f>
        <v>72</v>
      </c>
      <c r="G15" s="19">
        <f>IF(F$14=0,0,F15/F$14)</f>
        <v>0.96</v>
      </c>
    </row>
    <row r="16" spans="1:7" ht="19.5" customHeight="1" x14ac:dyDescent="0.25">
      <c r="A16" s="17" t="s">
        <v>431</v>
      </c>
      <c r="B16" s="18">
        <f>B17+B18</f>
        <v>1</v>
      </c>
      <c r="C16" s="19">
        <f>IF(B$14=0,0,B16/B$14)</f>
        <v>1.3333333333333334E-2</v>
      </c>
      <c r="D16" s="18">
        <f>D17+D18</f>
        <v>4</v>
      </c>
      <c r="E16" s="19">
        <f>IF(D$14=0,0,D16/D$14)</f>
        <v>5.3333333333333337E-2</v>
      </c>
      <c r="F16" s="18">
        <f>F17+F18</f>
        <v>3</v>
      </c>
      <c r="G16" s="19">
        <f>IF(F$14=0,0,F16/F$14)</f>
        <v>0.04</v>
      </c>
    </row>
    <row r="17" spans="1:7" ht="19.5" customHeight="1" x14ac:dyDescent="0.25">
      <c r="A17" s="20" t="s">
        <v>432</v>
      </c>
      <c r="B17" s="21">
        <f>COUNTIFS(Tests!$D:$D,"MALICIOUS",Tests!$E:$E,"BENIGN")</f>
        <v>0</v>
      </c>
      <c r="C17" s="22">
        <f>IF(B$14=0,0,B17/B$14)</f>
        <v>0</v>
      </c>
      <c r="D17" s="21">
        <f>COUNTIFS(Tests!$D:$D,"MALICIOUS",Tests!$F:$F,"BENIGN")</f>
        <v>4</v>
      </c>
      <c r="E17" s="22">
        <f>IF(D$14=0,0,D17/D$14)</f>
        <v>5.3333333333333337E-2</v>
      </c>
      <c r="F17" s="21">
        <f>COUNTIFS(Tests!$D:$D,"MALICIOUS",Tests!$G:$G,"BENIGN")</f>
        <v>2</v>
      </c>
      <c r="G17" s="22">
        <f>IF(F$14=0,0,F17/F$14)</f>
        <v>2.6666666666666668E-2</v>
      </c>
    </row>
    <row r="18" spans="1:7" ht="19.5" customHeight="1" x14ac:dyDescent="0.25">
      <c r="A18" s="20" t="s">
        <v>426</v>
      </c>
      <c r="B18" s="21">
        <f>COUNTIFS(Tests!$D:$D,"MALICIOUS",Tests!$E:$E,"SUSPICIOUS")</f>
        <v>1</v>
      </c>
      <c r="C18" s="22">
        <f>IF(B$14=0,0,B18/B$14)</f>
        <v>1.3333333333333334E-2</v>
      </c>
      <c r="D18" s="21">
        <f>COUNTIFS(Tests!$D:$D,"MALICIOUS",Tests!$F:$F,"SUSPICIOUS")</f>
        <v>0</v>
      </c>
      <c r="E18" s="22">
        <f>IF(D$14=0,0,D18/D$14)</f>
        <v>0</v>
      </c>
      <c r="F18" s="21">
        <f>COUNTIFS(Tests!$D:$D,"MALICIOUS",Tests!$G:$G,"SUSPICIOUS")</f>
        <v>1</v>
      </c>
      <c r="G18" s="22">
        <f>IF(F$14=0,0,F18/F$14)</f>
        <v>1.3333333333333334E-2</v>
      </c>
    </row>
    <row r="21" spans="1:7" ht="24" customHeight="1" x14ac:dyDescent="0.3">
      <c r="A21" s="11" t="s">
        <v>433</v>
      </c>
    </row>
    <row r="22" spans="1:7" x14ac:dyDescent="0.25">
      <c r="A22" s="27" t="s">
        <v>434</v>
      </c>
      <c r="B22" s="28" t="s">
        <v>420</v>
      </c>
      <c r="C22" s="28"/>
      <c r="D22" s="28" t="s">
        <v>413</v>
      </c>
      <c r="E22" s="28"/>
      <c r="F22" s="28" t="s">
        <v>414</v>
      </c>
      <c r="G22" s="28"/>
    </row>
    <row r="23" spans="1:7" x14ac:dyDescent="0.25">
      <c r="A23" s="27"/>
      <c r="B23" s="16" t="s">
        <v>421</v>
      </c>
      <c r="C23" s="16" t="s">
        <v>422</v>
      </c>
      <c r="D23" s="16" t="s">
        <v>421</v>
      </c>
      <c r="E23" s="16" t="s">
        <v>422</v>
      </c>
      <c r="F23" s="16" t="s">
        <v>421</v>
      </c>
      <c r="G23" s="16" t="s">
        <v>422</v>
      </c>
    </row>
    <row r="24" spans="1:7" ht="19.5" customHeight="1" x14ac:dyDescent="0.25">
      <c r="A24" s="13" t="s">
        <v>14</v>
      </c>
      <c r="B24" s="23">
        <f>COUNTIF(Tests!$E:$E,"BENIGN")</f>
        <v>53</v>
      </c>
      <c r="C24" s="24">
        <f>IF(B$27=0,0,B24/B$27)</f>
        <v>0.35333333333333333</v>
      </c>
      <c r="D24" s="23">
        <f>COUNTIF(Tests!$F:$F,"BENIGN")</f>
        <v>69</v>
      </c>
      <c r="E24" s="24">
        <f>IF(D$27=0,0,D24/D$27)</f>
        <v>0.46</v>
      </c>
      <c r="F24" s="23">
        <f>COUNTIF(Tests!$G:$G,"BENIGN")</f>
        <v>73</v>
      </c>
      <c r="G24" s="24">
        <f>IF(F$27=0,0,F24/F$27)</f>
        <v>0.48666666666666669</v>
      </c>
    </row>
    <row r="25" spans="1:7" ht="19.5" customHeight="1" x14ac:dyDescent="0.25">
      <c r="A25" s="13" t="s">
        <v>56</v>
      </c>
      <c r="B25" s="23">
        <f>COUNTIF(Tests!$E:$E,"SUSPICIOUS")</f>
        <v>9</v>
      </c>
      <c r="C25" s="24">
        <f>IF(B$27=0,0,B25/B$27)</f>
        <v>0.06</v>
      </c>
      <c r="D25" s="23">
        <f>COUNTIF(Tests!$F:$F,"SUSPICIOUS")</f>
        <v>6</v>
      </c>
      <c r="E25" s="24">
        <f>IF(D$27=0,0,D25/D$27)</f>
        <v>0.04</v>
      </c>
      <c r="F25" s="23">
        <f>COUNTIF(Tests!$G:$G,"SUSPICIOUS")</f>
        <v>3</v>
      </c>
      <c r="G25" s="24">
        <f>IF(F$27=0,0,F25/F$27)</f>
        <v>0.02</v>
      </c>
    </row>
    <row r="26" spans="1:7" ht="19.5" customHeight="1" x14ac:dyDescent="0.25">
      <c r="A26" s="13" t="s">
        <v>10</v>
      </c>
      <c r="B26" s="23">
        <f>COUNTIF(Tests!$E:$E,"MALICIOUS")</f>
        <v>88</v>
      </c>
      <c r="C26" s="24">
        <f>IF(B$27=0,0,B26/B$27)</f>
        <v>0.58666666666666667</v>
      </c>
      <c r="D26" s="23">
        <f>COUNTIF(Tests!$F:$F,"MALICIOUS")</f>
        <v>75</v>
      </c>
      <c r="E26" s="24">
        <f>IF(D$27=0,0,D26/D$27)</f>
        <v>0.5</v>
      </c>
      <c r="F26" s="23">
        <f>COUNTIF(Tests!$G:$G,"MALICIOUS")</f>
        <v>74</v>
      </c>
      <c r="G26" s="24">
        <f>IF(F$27=0,0,F26/F$27)</f>
        <v>0.49333333333333335</v>
      </c>
    </row>
    <row r="27" spans="1:7" ht="19.5" customHeight="1" x14ac:dyDescent="0.25">
      <c r="A27" s="13" t="s">
        <v>435</v>
      </c>
      <c r="B27" s="25">
        <f>SUM(B24:B26)</f>
        <v>150</v>
      </c>
      <c r="C27" s="26">
        <f>IF(B$27=0,0,B27/B$27)</f>
        <v>1</v>
      </c>
      <c r="D27" s="25">
        <f>SUM(D24:D26)</f>
        <v>150</v>
      </c>
      <c r="E27" s="26">
        <f>IF(D$27=0,0,D27/D$27)</f>
        <v>1</v>
      </c>
      <c r="F27" s="25">
        <f>SUM(F24:F26)</f>
        <v>150</v>
      </c>
      <c r="G27" s="26">
        <f>IF(F$27=0,0,F27/F$27)</f>
        <v>1</v>
      </c>
    </row>
    <row r="29" spans="1:7" x14ac:dyDescent="0.25">
      <c r="A29" s="15" t="s">
        <v>436</v>
      </c>
    </row>
  </sheetData>
  <mergeCells count="12">
    <mergeCell ref="A22:A23"/>
    <mergeCell ref="B22:C22"/>
    <mergeCell ref="D22:E22"/>
    <mergeCell ref="F22:G22"/>
    <mergeCell ref="A2:A3"/>
    <mergeCell ref="B2:C2"/>
    <mergeCell ref="D2:E2"/>
    <mergeCell ref="F2:G2"/>
    <mergeCell ref="A12:A13"/>
    <mergeCell ref="B12:C12"/>
    <mergeCell ref="D12:E12"/>
    <mergeCell ref="F12:G12"/>
  </mergeCell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Tests</vt:lpstr>
      <vt:lpstr>Metrics</vt:lpstr>
      <vt:lpstr>Others</vt:lpstr>
      <vt:lpstr>Tests!Print_Titles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 Marius Simina</cp:lastModifiedBy>
  <cp:revision>0</cp:revision>
  <dcterms:created xsi:type="dcterms:W3CDTF">2026-09-20T20:03:53Z</dcterms:created>
  <dcterms:modified xsi:type="dcterms:W3CDTF">2026-09-21T18:15:36Z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58b62f-6f94-46bd-8089-18e64b0a9abb_Enabled">
    <vt:lpwstr>true</vt:lpwstr>
  </property>
  <property fmtid="{D5CDD505-2E9C-101B-9397-08002B2CF9AE}" pid="3" name="MSIP_Label_5b58b62f-6f94-46bd-8089-18e64b0a9abb_SetDate">
    <vt:lpwstr>2026-09-21T14:27:03Z</vt:lpwstr>
  </property>
  <property fmtid="{D5CDD505-2E9C-101B-9397-08002B2CF9AE}" pid="4" name="MSIP_Label_5b58b62f-6f94-46bd-8089-18e64b0a9abb_Method">
    <vt:lpwstr>Standard</vt:lpwstr>
  </property>
  <property fmtid="{D5CDD505-2E9C-101B-9397-08002B2CF9AE}" pid="5" name="MSIP_Label_5b58b62f-6f94-46bd-8089-18e64b0a9abb_Name">
    <vt:lpwstr>defa4170-0d19-0005-0004-bc88714345d2</vt:lpwstr>
  </property>
  <property fmtid="{D5CDD505-2E9C-101B-9397-08002B2CF9AE}" pid="6" name="MSIP_Label_5b58b62f-6f94-46bd-8089-18e64b0a9abb_SiteId">
    <vt:lpwstr>a6eb79fa-c4a9-4cce-818d-b85274d15305</vt:lpwstr>
  </property>
  <property fmtid="{D5CDD505-2E9C-101B-9397-08002B2CF9AE}" pid="7" name="MSIP_Label_5b58b62f-6f94-46bd-8089-18e64b0a9abb_ActionId">
    <vt:lpwstr>3e9b7975-d969-4cff-ab72-0216ecd65ff2</vt:lpwstr>
  </property>
  <property fmtid="{D5CDD505-2E9C-101B-9397-08002B2CF9AE}" pid="8" name="MSIP_Label_5b58b62f-6f94-46bd-8089-18e64b0a9abb_ContentBits">
    <vt:lpwstr>0</vt:lpwstr>
  </property>
  <property fmtid="{D5CDD505-2E9C-101B-9397-08002B2CF9AE}" pid="9" name="MSIP_Label_5b58b62f-6f94-46bd-8089-18e64b0a9abb_Tag">
    <vt:lpwstr>10, 3, 0, 1</vt:lpwstr>
  </property>
</Properties>
</file>